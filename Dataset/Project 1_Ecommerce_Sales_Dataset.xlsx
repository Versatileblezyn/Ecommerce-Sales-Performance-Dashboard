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8_{3E0A4910-1932-4525-BA76-48CB5DCD1CF6}" xr6:coauthVersionLast="47" xr6:coauthVersionMax="47" xr10:uidLastSave="{00000000-0000-0000-0000-000000000000}"/>
  <bookViews>
    <workbookView xWindow="-110" yWindow="-110" windowWidth="19420" windowHeight="10300" activeTab="1" xr2:uid="{00000000-000D-0000-FFFF-FFFF00000000}"/>
  </bookViews>
  <sheets>
    <sheet name="Pivot_tables" sheetId="5" r:id="rId1"/>
    <sheet name="Project_1_Ecommerce_Sales_Datas" sheetId="6" r:id="rId2"/>
    <sheet name="Sales_Data" sheetId="1" r:id="rId3"/>
    <sheet name="KPIs" sheetId="4" r:id="rId4"/>
    <sheet name="Data_Dictionary" sheetId="2" r:id="rId5"/>
    <sheet name="Suggested_KPIs" sheetId="3" r:id="rId6"/>
  </sheets>
  <definedNames>
    <definedName name="Slicer_Category">#N/A</definedName>
    <definedName name="Slicer_Customer_Segment">#N/A</definedName>
    <definedName name="Slicer_Region">#N/A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6" l="1"/>
  <c r="N10" i="6"/>
  <c r="D2" i="4"/>
  <c r="H10" i="6"/>
  <c r="C2" i="4"/>
  <c r="E10" i="6"/>
  <c r="B2" i="4"/>
  <c r="B10" i="6"/>
  <c r="A2" i="4"/>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 r="E2" i="4" l="1"/>
</calcChain>
</file>

<file path=xl/sharedStrings.xml><?xml version="1.0" encoding="utf-8"?>
<sst xmlns="http://schemas.openxmlformats.org/spreadsheetml/2006/main" count="9108" uniqueCount="2639">
  <si>
    <t>Order_ID</t>
  </si>
  <si>
    <t>Order_Date</t>
  </si>
  <si>
    <t>Customer_ID</t>
  </si>
  <si>
    <t>Customer_Name</t>
  </si>
  <si>
    <t>Customer_Segment</t>
  </si>
  <si>
    <t>Region</t>
  </si>
  <si>
    <t>Category</t>
  </si>
  <si>
    <t>Product_Name</t>
  </si>
  <si>
    <t>Quantity</t>
  </si>
  <si>
    <t>Unit_Price</t>
  </si>
  <si>
    <t>Sales</t>
  </si>
  <si>
    <t>Discount</t>
  </si>
  <si>
    <t>Profit</t>
  </si>
  <si>
    <t>Payment_Method</t>
  </si>
  <si>
    <t>Shipping_Days</t>
  </si>
  <si>
    <t>ORD-1001</t>
  </si>
  <si>
    <t>2025-02-22</t>
  </si>
  <si>
    <t>CUST-273</t>
  </si>
  <si>
    <t>Jordan Valenzuela</t>
  </si>
  <si>
    <t>Home Office</t>
  </si>
  <si>
    <t>North</t>
  </si>
  <si>
    <t>Office Supplies</t>
  </si>
  <si>
    <t>Notebook</t>
  </si>
  <si>
    <t>Bank Transfer</t>
  </si>
  <si>
    <t>ORD-1002</t>
  </si>
  <si>
    <t>2025-10-15</t>
  </si>
  <si>
    <t>CUST-150</t>
  </si>
  <si>
    <t>Sophia Conley</t>
  </si>
  <si>
    <t>West</t>
  </si>
  <si>
    <t>Technology</t>
  </si>
  <si>
    <t>Laptop</t>
  </si>
  <si>
    <t>Card</t>
  </si>
  <si>
    <t>ORD-1003</t>
  </si>
  <si>
    <t>2025-06-24</t>
  </si>
  <si>
    <t>CUST-171</t>
  </si>
  <si>
    <t>Mary Fernandez</t>
  </si>
  <si>
    <t>Consumer</t>
  </si>
  <si>
    <t>South</t>
  </si>
  <si>
    <t>Paper Pack</t>
  </si>
  <si>
    <t>PayPal</t>
  </si>
  <si>
    <t>ORD-1004</t>
  </si>
  <si>
    <t>2025-01-23</t>
  </si>
  <si>
    <t>CUST-286</t>
  </si>
  <si>
    <t>Mark Collins</t>
  </si>
  <si>
    <t>Corporate</t>
  </si>
  <si>
    <t>Mouse</t>
  </si>
  <si>
    <t>ORD-1005</t>
  </si>
  <si>
    <t>2025-12-27</t>
  </si>
  <si>
    <t>CUST-117</t>
  </si>
  <si>
    <t>Chelsea Smith</t>
  </si>
  <si>
    <t>ORD-1006</t>
  </si>
  <si>
    <t>2025-03-25</t>
  </si>
  <si>
    <t>CUST-194</t>
  </si>
  <si>
    <t>Juan Anderson PhD</t>
  </si>
  <si>
    <t>ORD-1007</t>
  </si>
  <si>
    <t>CUST-218</t>
  </si>
  <si>
    <t>Christopher Eaton</t>
  </si>
  <si>
    <t>East</t>
  </si>
  <si>
    <t>ORD-1008</t>
  </si>
  <si>
    <t>2025-01-17</t>
  </si>
  <si>
    <t>CUST-180</t>
  </si>
  <si>
    <t>Kaylee Ellis</t>
  </si>
  <si>
    <t>Printer</t>
  </si>
  <si>
    <t>ORD-1009</t>
  </si>
  <si>
    <t>2025-11-26</t>
  </si>
  <si>
    <t>CUST-217</t>
  </si>
  <si>
    <t>Taylor Soto</t>
  </si>
  <si>
    <t>ORD-1010</t>
  </si>
  <si>
    <t>2025-10-26</t>
  </si>
  <si>
    <t>CUST-202</t>
  </si>
  <si>
    <t>Michael Jones</t>
  </si>
  <si>
    <t>Marker Set</t>
  </si>
  <si>
    <t>ORD-1011</t>
  </si>
  <si>
    <t>2025-12-15</t>
  </si>
  <si>
    <t>CUST-208</t>
  </si>
  <si>
    <t>Lindsey Aguilar</t>
  </si>
  <si>
    <t>Furniture</t>
  </si>
  <si>
    <t>Office Chair</t>
  </si>
  <si>
    <t>ORD-1012</t>
  </si>
  <si>
    <t>2025-01-06</t>
  </si>
  <si>
    <t>CUST-274</t>
  </si>
  <si>
    <t>Jennifer Perez</t>
  </si>
  <si>
    <t>Stapler</t>
  </si>
  <si>
    <t>ORD-1013</t>
  </si>
  <si>
    <t>2025-05-15</t>
  </si>
  <si>
    <t>CUST-228</t>
  </si>
  <si>
    <t>Matthew Johnson</t>
  </si>
  <si>
    <t>Bookshelf</t>
  </si>
  <si>
    <t>ORD-1014</t>
  </si>
  <si>
    <t>2025-10-04</t>
  </si>
  <si>
    <t>CUST-299</t>
  </si>
  <si>
    <t>Brian Keller</t>
  </si>
  <si>
    <t>ORD-1015</t>
  </si>
  <si>
    <t>2025-05-04</t>
  </si>
  <si>
    <t>CUST-245</t>
  </si>
  <si>
    <t>Maria Ayala</t>
  </si>
  <si>
    <t>ORD-1016</t>
  </si>
  <si>
    <t>2025-03-26</t>
  </si>
  <si>
    <t>CUST-167</t>
  </si>
  <si>
    <t>Alex Baker</t>
  </si>
  <si>
    <t>Tablet</t>
  </si>
  <si>
    <t>ORD-1017</t>
  </si>
  <si>
    <t>2025-08-13</t>
  </si>
  <si>
    <t>CUST-232</t>
  </si>
  <si>
    <t>Timothy Key</t>
  </si>
  <si>
    <t>Pen Set</t>
  </si>
  <si>
    <t>ORD-1018</t>
  </si>
  <si>
    <t>2025-01-04</t>
  </si>
  <si>
    <t>CUST-118</t>
  </si>
  <si>
    <t>Edward Guerra</t>
  </si>
  <si>
    <t>Keyboard</t>
  </si>
  <si>
    <t>ORD-1019</t>
  </si>
  <si>
    <t>2025-04-20</t>
  </si>
  <si>
    <t>CUST-238</t>
  </si>
  <si>
    <t>David Thompson</t>
  </si>
  <si>
    <t>ORD-1020</t>
  </si>
  <si>
    <t>2025-07-30</t>
  </si>
  <si>
    <t>CUST-219</t>
  </si>
  <si>
    <t>Ryan Rogers</t>
  </si>
  <si>
    <t>Desk</t>
  </si>
  <si>
    <t>ORD-1021</t>
  </si>
  <si>
    <t>2025-04-08</t>
  </si>
  <si>
    <t>CUST-237</t>
  </si>
  <si>
    <t>Robert Garcia</t>
  </si>
  <si>
    <t>ORD-1022</t>
  </si>
  <si>
    <t>2025-10-09</t>
  </si>
  <si>
    <t>CUST-125</t>
  </si>
  <si>
    <t>Kelly Barry</t>
  </si>
  <si>
    <t>Cabinet</t>
  </si>
  <si>
    <t>ORD-1023</t>
  </si>
  <si>
    <t>CUST-197</t>
  </si>
  <si>
    <t>Nicholas Benjamin</t>
  </si>
  <si>
    <t>ORD-1024</t>
  </si>
  <si>
    <t>2025-06-01</t>
  </si>
  <si>
    <t>CUST-155</t>
  </si>
  <si>
    <t>Kevin Walker</t>
  </si>
  <si>
    <t>ORD-1025</t>
  </si>
  <si>
    <t>2025-09-18</t>
  </si>
  <si>
    <t>CUST-120</t>
  </si>
  <si>
    <t>Rose Edwards</t>
  </si>
  <si>
    <t>ORD-1026</t>
  </si>
  <si>
    <t>2025-11-01</t>
  </si>
  <si>
    <t>CUST-110</t>
  </si>
  <si>
    <t>Kevin Nelson</t>
  </si>
  <si>
    <t>ORD-1027</t>
  </si>
  <si>
    <t>2025-06-10</t>
  </si>
  <si>
    <t>CUST-161</t>
  </si>
  <si>
    <t>Michael Moore</t>
  </si>
  <si>
    <t>ORD-1028</t>
  </si>
  <si>
    <t>2025-02-21</t>
  </si>
  <si>
    <t>Benjamin Palmer</t>
  </si>
  <si>
    <t>ORD-1029</t>
  </si>
  <si>
    <t>CUST-239</t>
  </si>
  <si>
    <t>Sonya Davis</t>
  </si>
  <si>
    <t>ORD-1030</t>
  </si>
  <si>
    <t>2025-03-10</t>
  </si>
  <si>
    <t>John Liu</t>
  </si>
  <si>
    <t>ORD-1031</t>
  </si>
  <si>
    <t>2025-12-18</t>
  </si>
  <si>
    <t>CUST-262</t>
  </si>
  <si>
    <t>Michele Diaz</t>
  </si>
  <si>
    <t>ORD-1032</t>
  </si>
  <si>
    <t>2025-03-08</t>
  </si>
  <si>
    <t>CUST-263</t>
  </si>
  <si>
    <t>Kristin Stevenson</t>
  </si>
  <si>
    <t>ORD-1033</t>
  </si>
  <si>
    <t>2025-12-20</t>
  </si>
  <si>
    <t>CUST-138</t>
  </si>
  <si>
    <t>Michele Moody</t>
  </si>
  <si>
    <t>ORD-1034</t>
  </si>
  <si>
    <t>2025-01-21</t>
  </si>
  <si>
    <t>CUST-191</t>
  </si>
  <si>
    <t>Sharon Jimenez</t>
  </si>
  <si>
    <t>ORD-1035</t>
  </si>
  <si>
    <t>2025-05-02</t>
  </si>
  <si>
    <t>CUST-141</t>
  </si>
  <si>
    <t>Brenda Cooper</t>
  </si>
  <si>
    <t>Conference Table</t>
  </si>
  <si>
    <t>ORD-1036</t>
  </si>
  <si>
    <t>2025-05-17</t>
  </si>
  <si>
    <t>CUST-140</t>
  </si>
  <si>
    <t>Randall Hall</t>
  </si>
  <si>
    <t>ORD-1037</t>
  </si>
  <si>
    <t>2025-04-27</t>
  </si>
  <si>
    <t>CUST-157</t>
  </si>
  <si>
    <t>Lori Jenkins</t>
  </si>
  <si>
    <t>ORD-1038</t>
  </si>
  <si>
    <t>2025-10-02</t>
  </si>
  <si>
    <t>CUST-184</t>
  </si>
  <si>
    <t>Jacob Mendoza</t>
  </si>
  <si>
    <t>ORD-1039</t>
  </si>
  <si>
    <t>CUST-211</t>
  </si>
  <si>
    <t>Christopher Erickson</t>
  </si>
  <si>
    <t>ORD-1040</t>
  </si>
  <si>
    <t>2025-10-03</t>
  </si>
  <si>
    <t>CUST-275</t>
  </si>
  <si>
    <t>Lauren Williams</t>
  </si>
  <si>
    <t>ORD-1041</t>
  </si>
  <si>
    <t>2025-06-03</t>
  </si>
  <si>
    <t>CUST-229</t>
  </si>
  <si>
    <t>Rhonda Allen</t>
  </si>
  <si>
    <t>ORD-1042</t>
  </si>
  <si>
    <t>2025-07-14</t>
  </si>
  <si>
    <t>Stephen Cooley</t>
  </si>
  <si>
    <t>ORD-1043</t>
  </si>
  <si>
    <t>2025-08-09</t>
  </si>
  <si>
    <t>CUST-248</t>
  </si>
  <si>
    <t>Nicholas Morgan</t>
  </si>
  <si>
    <t>ORD-1044</t>
  </si>
  <si>
    <t>2025-02-13</t>
  </si>
  <si>
    <t>CUST-172</t>
  </si>
  <si>
    <t>Caroline Lopez</t>
  </si>
  <si>
    <t>ORD-1045</t>
  </si>
  <si>
    <t>2025-05-06</t>
  </si>
  <si>
    <t>CUST-221</t>
  </si>
  <si>
    <t>Brandon Summers</t>
  </si>
  <si>
    <t>ORD-1046</t>
  </si>
  <si>
    <t>2025-05-05</t>
  </si>
  <si>
    <t>CUST-137</t>
  </si>
  <si>
    <t>Mary Greene</t>
  </si>
  <si>
    <t>ORD-1047</t>
  </si>
  <si>
    <t>2025-03-04</t>
  </si>
  <si>
    <t>CUST-216</t>
  </si>
  <si>
    <t>Stephanie Rivera</t>
  </si>
  <si>
    <t>Monitor</t>
  </si>
  <si>
    <t>ORD-1048</t>
  </si>
  <si>
    <t>2025-09-16</t>
  </si>
  <si>
    <t>CUST-209</t>
  </si>
  <si>
    <t>Leslie Suarez</t>
  </si>
  <si>
    <t>ORD-1049</t>
  </si>
  <si>
    <t>2025-09-24</t>
  </si>
  <si>
    <t>CUST-224</t>
  </si>
  <si>
    <t>Michael Mcmahon</t>
  </si>
  <si>
    <t>ORD-1050</t>
  </si>
  <si>
    <t>Ashley Nelson</t>
  </si>
  <si>
    <t>ORD-1051</t>
  </si>
  <si>
    <t>2025-08-27</t>
  </si>
  <si>
    <t>CUST-206</t>
  </si>
  <si>
    <t>Christian Bryant</t>
  </si>
  <si>
    <t>ORD-1052</t>
  </si>
  <si>
    <t>2025-06-02</t>
  </si>
  <si>
    <t>CUST-292</t>
  </si>
  <si>
    <t>Betty Kramer</t>
  </si>
  <si>
    <t>ORD-1053</t>
  </si>
  <si>
    <t>2025-07-19</t>
  </si>
  <si>
    <t>CUST-186</t>
  </si>
  <si>
    <t>Rachel Meyers</t>
  </si>
  <si>
    <t>ORD-1054</t>
  </si>
  <si>
    <t>2025-12-06</t>
  </si>
  <si>
    <t>CUST-106</t>
  </si>
  <si>
    <t>Thomas Olson</t>
  </si>
  <si>
    <t>ORD-1055</t>
  </si>
  <si>
    <t>2025-06-22</t>
  </si>
  <si>
    <t>CUST-294</t>
  </si>
  <si>
    <t>Christine Maddox</t>
  </si>
  <si>
    <t>ORD-1056</t>
  </si>
  <si>
    <t>2025-06-29</t>
  </si>
  <si>
    <t>Mr. Randy May</t>
  </si>
  <si>
    <t>ORD-1057</t>
  </si>
  <si>
    <t>2025-03-06</t>
  </si>
  <si>
    <t>Kimberly Garrett</t>
  </si>
  <si>
    <t>ORD-1058</t>
  </si>
  <si>
    <t>2025-02-28</t>
  </si>
  <si>
    <t>Kevin Miller</t>
  </si>
  <si>
    <t>ORD-1059</t>
  </si>
  <si>
    <t>2025-04-12</t>
  </si>
  <si>
    <t>CUST-119</t>
  </si>
  <si>
    <t>Karen Peterson</t>
  </si>
  <si>
    <t>ORD-1060</t>
  </si>
  <si>
    <t>2025-06-27</t>
  </si>
  <si>
    <t>CUST-236</t>
  </si>
  <si>
    <t>Audrey Fritz</t>
  </si>
  <si>
    <t>ORD-1061</t>
  </si>
  <si>
    <t>2025-07-05</t>
  </si>
  <si>
    <t>Felicia Wood</t>
  </si>
  <si>
    <t>ORD-1062</t>
  </si>
  <si>
    <t>Susan Hickman</t>
  </si>
  <si>
    <t>ORD-1063</t>
  </si>
  <si>
    <t>2025-12-09</t>
  </si>
  <si>
    <t>Tina Hernandez</t>
  </si>
  <si>
    <t>ORD-1064</t>
  </si>
  <si>
    <t>2025-11-02</t>
  </si>
  <si>
    <t>CUST-279</t>
  </si>
  <si>
    <t>Richard Odonnell</t>
  </si>
  <si>
    <t>ORD-1065</t>
  </si>
  <si>
    <t>2025-11-27</t>
  </si>
  <si>
    <t>CUST-282</t>
  </si>
  <si>
    <t>Jesus Santos</t>
  </si>
  <si>
    <t>ORD-1066</t>
  </si>
  <si>
    <t>2025-07-08</t>
  </si>
  <si>
    <t>Henry Garner</t>
  </si>
  <si>
    <t>ORD-1067</t>
  </si>
  <si>
    <t>2025-04-09</t>
  </si>
  <si>
    <t>Vincent Gallegos</t>
  </si>
  <si>
    <t>ORD-1068</t>
  </si>
  <si>
    <t>CUST-149</t>
  </si>
  <si>
    <t>Isaiah Mitchell</t>
  </si>
  <si>
    <t>ORD-1069</t>
  </si>
  <si>
    <t>2025-10-11</t>
  </si>
  <si>
    <t>CUST-174</t>
  </si>
  <si>
    <t>Melissa Novak</t>
  </si>
  <si>
    <t>ORD-1070</t>
  </si>
  <si>
    <t>2025-04-05</t>
  </si>
  <si>
    <t>CUST-113</t>
  </si>
  <si>
    <t>Sonia Scott</t>
  </si>
  <si>
    <t>ORD-1071</t>
  </si>
  <si>
    <t>2025-03-18</t>
  </si>
  <si>
    <t>CUST-244</t>
  </si>
  <si>
    <t>Grace Jones</t>
  </si>
  <si>
    <t>ORD-1072</t>
  </si>
  <si>
    <t>2025-09-25</t>
  </si>
  <si>
    <t>Megan Moyer</t>
  </si>
  <si>
    <t>ORD-1073</t>
  </si>
  <si>
    <t>2025-02-20</t>
  </si>
  <si>
    <t>CUST-295</t>
  </si>
  <si>
    <t>Jacqueline Dalton</t>
  </si>
  <si>
    <t>ORD-1074</t>
  </si>
  <si>
    <t>2025-08-19</t>
  </si>
  <si>
    <t>CUST-276</t>
  </si>
  <si>
    <t>Brent Berry</t>
  </si>
  <si>
    <t>ORD-1075</t>
  </si>
  <si>
    <t>2025-04-30</t>
  </si>
  <si>
    <t>Debra Anderson</t>
  </si>
  <si>
    <t>ORD-1076</t>
  </si>
  <si>
    <t>CUST-178</t>
  </si>
  <si>
    <t>Randy Simon</t>
  </si>
  <si>
    <t>ORD-1077</t>
  </si>
  <si>
    <t>Brandy Smith</t>
  </si>
  <si>
    <t>ORD-1078</t>
  </si>
  <si>
    <t>2025-10-22</t>
  </si>
  <si>
    <t>CUST-250</t>
  </si>
  <si>
    <t>Robert White</t>
  </si>
  <si>
    <t>ORD-1079</t>
  </si>
  <si>
    <t>2025-10-27</t>
  </si>
  <si>
    <t>Daniel Bright</t>
  </si>
  <si>
    <t>ORD-1080</t>
  </si>
  <si>
    <t>2025-06-18</t>
  </si>
  <si>
    <t>CUST-205</t>
  </si>
  <si>
    <t>Catherine Johnson</t>
  </si>
  <si>
    <t>ORD-1081</t>
  </si>
  <si>
    <t>2025-07-26</t>
  </si>
  <si>
    <t>CUST-231</t>
  </si>
  <si>
    <t>Rachel Gibson</t>
  </si>
  <si>
    <t>ORD-1082</t>
  </si>
  <si>
    <t>2025-01-27</t>
  </si>
  <si>
    <t>CUST-152</t>
  </si>
  <si>
    <t>Nicole Garcia</t>
  </si>
  <si>
    <t>ORD-1083</t>
  </si>
  <si>
    <t>2025-05-03</t>
  </si>
  <si>
    <t>CUST-281</t>
  </si>
  <si>
    <t>Kayla Horton</t>
  </si>
  <si>
    <t>ORD-1084</t>
  </si>
  <si>
    <t>2025-03-02</t>
  </si>
  <si>
    <t>CUST-265</t>
  </si>
  <si>
    <t>Nathan Little</t>
  </si>
  <si>
    <t>ORD-1085</t>
  </si>
  <si>
    <t>2025-10-10</t>
  </si>
  <si>
    <t>Jeremy Nguyen</t>
  </si>
  <si>
    <t>ORD-1086</t>
  </si>
  <si>
    <t>2025-09-17</t>
  </si>
  <si>
    <t>CUST-168</t>
  </si>
  <si>
    <t>Caitlin Garcia</t>
  </si>
  <si>
    <t>ORD-1087</t>
  </si>
  <si>
    <t>2025-06-26</t>
  </si>
  <si>
    <t>CUST-185</t>
  </si>
  <si>
    <t>Sara Maldonado</t>
  </si>
  <si>
    <t>ORD-1088</t>
  </si>
  <si>
    <t>CUST-111</t>
  </si>
  <si>
    <t>Joshua Martinez</t>
  </si>
  <si>
    <t>ORD-1089</t>
  </si>
  <si>
    <t>2025-10-30</t>
  </si>
  <si>
    <t>Chloe Townsend</t>
  </si>
  <si>
    <t>ORD-1090</t>
  </si>
  <si>
    <t>2025-02-08</t>
  </si>
  <si>
    <t>CUST-220</t>
  </si>
  <si>
    <t>Matthew Caldwell</t>
  </si>
  <si>
    <t>ORD-1091</t>
  </si>
  <si>
    <t>2025-06-12</t>
  </si>
  <si>
    <t>CUST-260</t>
  </si>
  <si>
    <t>Amy Lee</t>
  </si>
  <si>
    <t>ORD-1092</t>
  </si>
  <si>
    <t>2025-02-16</t>
  </si>
  <si>
    <t>Joshua Fisher</t>
  </si>
  <si>
    <t>ORD-1093</t>
  </si>
  <si>
    <t>2025-07-11</t>
  </si>
  <si>
    <t>CUST-210</t>
  </si>
  <si>
    <t>Richard Hill</t>
  </si>
  <si>
    <t>ORD-1094</t>
  </si>
  <si>
    <t>2025-11-14</t>
  </si>
  <si>
    <t>Carla Anderson</t>
  </si>
  <si>
    <t>ORD-1095</t>
  </si>
  <si>
    <t>CUST-173</t>
  </si>
  <si>
    <t>Katrina Miller</t>
  </si>
  <si>
    <t>ORD-1096</t>
  </si>
  <si>
    <t>2025-08-22</t>
  </si>
  <si>
    <t>CUST-177</t>
  </si>
  <si>
    <t>Paula Harris</t>
  </si>
  <si>
    <t>ORD-1097</t>
  </si>
  <si>
    <t>CUST-105</t>
  </si>
  <si>
    <t>Patrick Mitchell</t>
  </si>
  <si>
    <t>ORD-1098</t>
  </si>
  <si>
    <t>2025-04-28</t>
  </si>
  <si>
    <t>CUST-255</t>
  </si>
  <si>
    <t>Julian Jennings</t>
  </si>
  <si>
    <t>ORD-1099</t>
  </si>
  <si>
    <t>2025-06-08</t>
  </si>
  <si>
    <t>CUST-212</t>
  </si>
  <si>
    <t>Robert Jackson</t>
  </si>
  <si>
    <t>ORD-1100</t>
  </si>
  <si>
    <t>CUST-193</t>
  </si>
  <si>
    <t>Wendy Hester</t>
  </si>
  <si>
    <t>ORD-1101</t>
  </si>
  <si>
    <t>2025-03-14</t>
  </si>
  <si>
    <t>CUST-293</t>
  </si>
  <si>
    <t>Cindy Williams</t>
  </si>
  <si>
    <t>ORD-1102</t>
  </si>
  <si>
    <t>2025-12-11</t>
  </si>
  <si>
    <t>CUST-291</t>
  </si>
  <si>
    <t>Jesse Walker</t>
  </si>
  <si>
    <t>ORD-1103</t>
  </si>
  <si>
    <t>CUST-183</t>
  </si>
  <si>
    <t>Emily Salazar</t>
  </si>
  <si>
    <t>ORD-1104</t>
  </si>
  <si>
    <t>2025-01-20</t>
  </si>
  <si>
    <t>Cindy Johnson</t>
  </si>
  <si>
    <t>ORD-1105</t>
  </si>
  <si>
    <t>2025-12-23</t>
  </si>
  <si>
    <t>Nicole Chavez</t>
  </si>
  <si>
    <t>ORD-1106</t>
  </si>
  <si>
    <t>2025-07-09</t>
  </si>
  <si>
    <t>Angela Mullins</t>
  </si>
  <si>
    <t>ORD-1107</t>
  </si>
  <si>
    <t>2025-07-23</t>
  </si>
  <si>
    <t>CUST-170</t>
  </si>
  <si>
    <t>Cheryl Mcdaniel</t>
  </si>
  <si>
    <t>ORD-1108</t>
  </si>
  <si>
    <t>CUST-132</t>
  </si>
  <si>
    <t>Donna Adams</t>
  </si>
  <si>
    <t>ORD-1109</t>
  </si>
  <si>
    <t>2025-03-17</t>
  </si>
  <si>
    <t>CUST-252</t>
  </si>
  <si>
    <t>Aaron Smith</t>
  </si>
  <si>
    <t>ORD-1110</t>
  </si>
  <si>
    <t>2025-07-03</t>
  </si>
  <si>
    <t>CUST-160</t>
  </si>
  <si>
    <t>Rachel Rivera</t>
  </si>
  <si>
    <t>ORD-1111</t>
  </si>
  <si>
    <t>2025-02-02</t>
  </si>
  <si>
    <t>James Davis</t>
  </si>
  <si>
    <t>ORD-1112</t>
  </si>
  <si>
    <t>2025-12-04</t>
  </si>
  <si>
    <t>CUST-233</t>
  </si>
  <si>
    <t>Douglas Collins</t>
  </si>
  <si>
    <t>ORD-1113</t>
  </si>
  <si>
    <t>2025-08-16</t>
  </si>
  <si>
    <t>Leslie Lynn</t>
  </si>
  <si>
    <t>ORD-1114</t>
  </si>
  <si>
    <t>2025-06-16</t>
  </si>
  <si>
    <t>Joshua Miller</t>
  </si>
  <si>
    <t>ORD-1115</t>
  </si>
  <si>
    <t>2025-11-30</t>
  </si>
  <si>
    <t>CUST-296</t>
  </si>
  <si>
    <t>Philip Joseph</t>
  </si>
  <si>
    <t>ORD-1116</t>
  </si>
  <si>
    <t>2025-02-18</t>
  </si>
  <si>
    <t>Caitlin Wilson</t>
  </si>
  <si>
    <t>ORD-1117</t>
  </si>
  <si>
    <t>2025-02-19</t>
  </si>
  <si>
    <t>CUST-290</t>
  </si>
  <si>
    <t>Sydney Jones</t>
  </si>
  <si>
    <t>ORD-1118</t>
  </si>
  <si>
    <t>2025-07-01</t>
  </si>
  <si>
    <t>CUST-270</t>
  </si>
  <si>
    <t>Richard Brown</t>
  </si>
  <si>
    <t>ORD-1119</t>
  </si>
  <si>
    <t>2025-09-04</t>
  </si>
  <si>
    <t>Julie Nunez</t>
  </si>
  <si>
    <t>ORD-1120</t>
  </si>
  <si>
    <t>2025-11-15</t>
  </si>
  <si>
    <t>CUST-257</t>
  </si>
  <si>
    <t>Nicole Wright</t>
  </si>
  <si>
    <t>ORD-1121</t>
  </si>
  <si>
    <t>CUST-101</t>
  </si>
  <si>
    <t>John Jackson</t>
  </si>
  <si>
    <t>ORD-1122</t>
  </si>
  <si>
    <t>2025-08-03</t>
  </si>
  <si>
    <t>Leslie Cook</t>
  </si>
  <si>
    <t>ORD-1123</t>
  </si>
  <si>
    <t>2025-11-13</t>
  </si>
  <si>
    <t>CUST-112</t>
  </si>
  <si>
    <t>Anita Ross</t>
  </si>
  <si>
    <t>ORD-1124</t>
  </si>
  <si>
    <t>2025-09-20</t>
  </si>
  <si>
    <t>CUST-129</t>
  </si>
  <si>
    <t>Edward Barker</t>
  </si>
  <si>
    <t>ORD-1125</t>
  </si>
  <si>
    <t>2025-07-22</t>
  </si>
  <si>
    <t>CUST-253</t>
  </si>
  <si>
    <t>Danielle Flores</t>
  </si>
  <si>
    <t>ORD-1126</t>
  </si>
  <si>
    <t>CUST-144</t>
  </si>
  <si>
    <t>Jessica Hebert</t>
  </si>
  <si>
    <t>ORD-1127</t>
  </si>
  <si>
    <t>2025-01-10</t>
  </si>
  <si>
    <t>Tony Howell</t>
  </si>
  <si>
    <t>ORD-1128</t>
  </si>
  <si>
    <t>CUST-143</t>
  </si>
  <si>
    <t>Ashley Carlson</t>
  </si>
  <si>
    <t>ORD-1129</t>
  </si>
  <si>
    <t>2025-02-10</t>
  </si>
  <si>
    <t>CUST-201</t>
  </si>
  <si>
    <t>Joshua Sims</t>
  </si>
  <si>
    <t>ORD-1130</t>
  </si>
  <si>
    <t>2025-06-28</t>
  </si>
  <si>
    <t>CUST-189</t>
  </si>
  <si>
    <t>Mrs. Casey Smith</t>
  </si>
  <si>
    <t>ORD-1131</t>
  </si>
  <si>
    <t>2025-12-02</t>
  </si>
  <si>
    <t>Sarah Rodriguez</t>
  </si>
  <si>
    <t>ORD-1132</t>
  </si>
  <si>
    <t>2025-11-18</t>
  </si>
  <si>
    <t>Rebecca Leblanc</t>
  </si>
  <si>
    <t>ORD-1133</t>
  </si>
  <si>
    <t>Christopher Figueroa</t>
  </si>
  <si>
    <t>ORD-1134</t>
  </si>
  <si>
    <t>2025-10-25</t>
  </si>
  <si>
    <t>CUST-241</t>
  </si>
  <si>
    <t>Danielle Sanchez</t>
  </si>
  <si>
    <t>ORD-1135</t>
  </si>
  <si>
    <t>2025-02-01</t>
  </si>
  <si>
    <t>CUST-215</t>
  </si>
  <si>
    <t>Tina Johnson</t>
  </si>
  <si>
    <t>ORD-1136</t>
  </si>
  <si>
    <t>2025-09-26</t>
  </si>
  <si>
    <t>Tracie Ball</t>
  </si>
  <si>
    <t>ORD-1137</t>
  </si>
  <si>
    <t>2025-11-20</t>
  </si>
  <si>
    <t>Stephanie Barr</t>
  </si>
  <si>
    <t>ORD-1138</t>
  </si>
  <si>
    <t>2025-11-05</t>
  </si>
  <si>
    <t>Dr. Amy Nelson</t>
  </si>
  <si>
    <t>ORD-1139</t>
  </si>
  <si>
    <t>CUST-243</t>
  </si>
  <si>
    <t>Matthew Khan</t>
  </si>
  <si>
    <t>ORD-1140</t>
  </si>
  <si>
    <t>2025-04-03</t>
  </si>
  <si>
    <t>CUST-154</t>
  </si>
  <si>
    <t>Brian Lynn</t>
  </si>
  <si>
    <t>ORD-1141</t>
  </si>
  <si>
    <t>CUST-289</t>
  </si>
  <si>
    <t>Charles Sanchez</t>
  </si>
  <si>
    <t>ORD-1142</t>
  </si>
  <si>
    <t>2025-12-21</t>
  </si>
  <si>
    <t>CUST-297</t>
  </si>
  <si>
    <t>William Shaw</t>
  </si>
  <si>
    <t>ORD-1143</t>
  </si>
  <si>
    <t>2025-11-09</t>
  </si>
  <si>
    <t>Carolyn Olson</t>
  </si>
  <si>
    <t>ORD-1144</t>
  </si>
  <si>
    <t>2025-10-20</t>
  </si>
  <si>
    <t>Barbara Garcia</t>
  </si>
  <si>
    <t>ORD-1145</t>
  </si>
  <si>
    <t>2025-05-09</t>
  </si>
  <si>
    <t>William Roman</t>
  </si>
  <si>
    <t>ORD-1146</t>
  </si>
  <si>
    <t>2025-03-24</t>
  </si>
  <si>
    <t>CUST-169</t>
  </si>
  <si>
    <t>Theresa Schneider</t>
  </si>
  <si>
    <t>ORD-1147</t>
  </si>
  <si>
    <t>2025-09-15</t>
  </si>
  <si>
    <t>CUST-195</t>
  </si>
  <si>
    <t>Molly Allen</t>
  </si>
  <si>
    <t>ORD-1148</t>
  </si>
  <si>
    <t>2025-03-16</t>
  </si>
  <si>
    <t>CUST-135</t>
  </si>
  <si>
    <t>David Stewart</t>
  </si>
  <si>
    <t>ORD-1149</t>
  </si>
  <si>
    <t>2025-04-21</t>
  </si>
  <si>
    <t>Jessica Kelly</t>
  </si>
  <si>
    <t>ORD-1150</t>
  </si>
  <si>
    <t>Mary Sanchez MD</t>
  </si>
  <si>
    <t>ORD-1151</t>
  </si>
  <si>
    <t>2025-08-08</t>
  </si>
  <si>
    <t>CUST-100</t>
  </si>
  <si>
    <t>Brenda Davis</t>
  </si>
  <si>
    <t>ORD-1152</t>
  </si>
  <si>
    <t>2025-09-27</t>
  </si>
  <si>
    <t>Edward Anderson</t>
  </si>
  <si>
    <t>ORD-1153</t>
  </si>
  <si>
    <t>2025-07-02</t>
  </si>
  <si>
    <t>Donald Murray</t>
  </si>
  <si>
    <t>ORD-1154</t>
  </si>
  <si>
    <t>Kimberly Ball</t>
  </si>
  <si>
    <t>ORD-1155</t>
  </si>
  <si>
    <t>2025-04-14</t>
  </si>
  <si>
    <t>Shane Garcia</t>
  </si>
  <si>
    <t>ORD-1156</t>
  </si>
  <si>
    <t>Mary Mann</t>
  </si>
  <si>
    <t>ORD-1157</t>
  </si>
  <si>
    <t>2025-07-17</t>
  </si>
  <si>
    <t>Clayton Jones</t>
  </si>
  <si>
    <t>ORD-1158</t>
  </si>
  <si>
    <t>CUST-254</t>
  </si>
  <si>
    <t>Dana Buchanan</t>
  </si>
  <si>
    <t>ORD-1159</t>
  </si>
  <si>
    <t>2025-03-27</t>
  </si>
  <si>
    <t>Rachel Nunez</t>
  </si>
  <si>
    <t>ORD-1160</t>
  </si>
  <si>
    <t>2025-01-30</t>
  </si>
  <si>
    <t>Shelly Morrison</t>
  </si>
  <si>
    <t>ORD-1161</t>
  </si>
  <si>
    <t>CUST-108</t>
  </si>
  <si>
    <t>Renee Price</t>
  </si>
  <si>
    <t>ORD-1162</t>
  </si>
  <si>
    <t>Sean Franklin</t>
  </si>
  <si>
    <t>ORD-1163</t>
  </si>
  <si>
    <t>Michael Thompson</t>
  </si>
  <si>
    <t>ORD-1164</t>
  </si>
  <si>
    <t>CUST-256</t>
  </si>
  <si>
    <t>Connor Odom</t>
  </si>
  <si>
    <t>ORD-1165</t>
  </si>
  <si>
    <t>2025-02-14</t>
  </si>
  <si>
    <t>Kelly Dickson PhD</t>
  </si>
  <si>
    <t>ORD-1166</t>
  </si>
  <si>
    <t>2025-12-25</t>
  </si>
  <si>
    <t>Eric Mitchell</t>
  </si>
  <si>
    <t>ORD-1167</t>
  </si>
  <si>
    <t>CUST-246</t>
  </si>
  <si>
    <t>Robin Salazar</t>
  </si>
  <si>
    <t>ORD-1168</t>
  </si>
  <si>
    <t>Victor Ellis</t>
  </si>
  <si>
    <t>ORD-1169</t>
  </si>
  <si>
    <t>Heather Baldwin</t>
  </si>
  <si>
    <t>ORD-1170</t>
  </si>
  <si>
    <t>2025-06-15</t>
  </si>
  <si>
    <t>Susan Moreno</t>
  </si>
  <si>
    <t>ORD-1171</t>
  </si>
  <si>
    <t>2025-11-17</t>
  </si>
  <si>
    <t>Kevin Morales</t>
  </si>
  <si>
    <t>ORD-1172</t>
  </si>
  <si>
    <t>2025-11-06</t>
  </si>
  <si>
    <t>Sherry Thomas</t>
  </si>
  <si>
    <t>ORD-1173</t>
  </si>
  <si>
    <t>2025-08-02</t>
  </si>
  <si>
    <t>CUST-258</t>
  </si>
  <si>
    <t>Michael Dickerson</t>
  </si>
  <si>
    <t>ORD-1174</t>
  </si>
  <si>
    <t>2025-08-21</t>
  </si>
  <si>
    <t>Tracy Sanders</t>
  </si>
  <si>
    <t>ORD-1175</t>
  </si>
  <si>
    <t>2025-06-13</t>
  </si>
  <si>
    <t>CUST-287</t>
  </si>
  <si>
    <t>David Norman</t>
  </si>
  <si>
    <t>ORD-1176</t>
  </si>
  <si>
    <t>CUST-163</t>
  </si>
  <si>
    <t>Patricia Sanders</t>
  </si>
  <si>
    <t>ORD-1177</t>
  </si>
  <si>
    <t>2025-10-23</t>
  </si>
  <si>
    <t>CUST-284</t>
  </si>
  <si>
    <t>Isaac Gray</t>
  </si>
  <si>
    <t>ORD-1178</t>
  </si>
  <si>
    <t>2025-07-21</t>
  </si>
  <si>
    <t>Jack White</t>
  </si>
  <si>
    <t>ORD-1179</t>
  </si>
  <si>
    <t>2025-12-01</t>
  </si>
  <si>
    <t>CUST-272</t>
  </si>
  <si>
    <t>Stephen Martinez</t>
  </si>
  <si>
    <t>ORD-1180</t>
  </si>
  <si>
    <t>Tracy Pitts</t>
  </si>
  <si>
    <t>ORD-1181</t>
  </si>
  <si>
    <t>Carolyn Hampton</t>
  </si>
  <si>
    <t>ORD-1182</t>
  </si>
  <si>
    <t>2025-07-07</t>
  </si>
  <si>
    <t>Shannon Keith</t>
  </si>
  <si>
    <t>ORD-1183</t>
  </si>
  <si>
    <t>2025-08-31</t>
  </si>
  <si>
    <t>Harry Hoffman</t>
  </si>
  <si>
    <t>ORD-1184</t>
  </si>
  <si>
    <t>CUST-251</t>
  </si>
  <si>
    <t>Amanda Gonzales</t>
  </si>
  <si>
    <t>ORD-1185</t>
  </si>
  <si>
    <t>CUST-249</t>
  </si>
  <si>
    <t>Christy Rodriguez</t>
  </si>
  <si>
    <t>ORD-1186</t>
  </si>
  <si>
    <t>2025-03-29</t>
  </si>
  <si>
    <t>CUST-234</t>
  </si>
  <si>
    <t>Jessica Hernandez</t>
  </si>
  <si>
    <t>ORD-1187</t>
  </si>
  <si>
    <t>2025-03-19</t>
  </si>
  <si>
    <t>Ronnie Phillips</t>
  </si>
  <si>
    <t>ORD-1188</t>
  </si>
  <si>
    <t>CUST-269</t>
  </si>
  <si>
    <t>Lori Mahoney</t>
  </si>
  <si>
    <t>ORD-1189</t>
  </si>
  <si>
    <t>CUST-264</t>
  </si>
  <si>
    <t>Zachary Smith</t>
  </si>
  <si>
    <t>ORD-1190</t>
  </si>
  <si>
    <t>Colleen Patterson</t>
  </si>
  <si>
    <t>ORD-1191</t>
  </si>
  <si>
    <t>Phillip Davis</t>
  </si>
  <si>
    <t>ORD-1192</t>
  </si>
  <si>
    <t>2025-08-15</t>
  </si>
  <si>
    <t>CUST-267</t>
  </si>
  <si>
    <t>William Mcgee</t>
  </si>
  <si>
    <t>ORD-1193</t>
  </si>
  <si>
    <t>2025-10-28</t>
  </si>
  <si>
    <t>Karen Caldwell</t>
  </si>
  <si>
    <t>ORD-1194</t>
  </si>
  <si>
    <t>2025-08-30</t>
  </si>
  <si>
    <t>Sherri Mcknight</t>
  </si>
  <si>
    <t>ORD-1195</t>
  </si>
  <si>
    <t>2025-05-28</t>
  </si>
  <si>
    <t>CUST-182</t>
  </si>
  <si>
    <t>Jonathan Green</t>
  </si>
  <si>
    <t>ORD-1196</t>
  </si>
  <si>
    <t>2025-04-01</t>
  </si>
  <si>
    <t>CUST-109</t>
  </si>
  <si>
    <t>Megan Collins</t>
  </si>
  <si>
    <t>ORD-1197</t>
  </si>
  <si>
    <t>2025-06-21</t>
  </si>
  <si>
    <t>Amy Dyer</t>
  </si>
  <si>
    <t>ORD-1198</t>
  </si>
  <si>
    <t>2025-08-23</t>
  </si>
  <si>
    <t>John Taylor</t>
  </si>
  <si>
    <t>ORD-1199</t>
  </si>
  <si>
    <t>2025-08-07</t>
  </si>
  <si>
    <t>Jeffrey Jenkins</t>
  </si>
  <si>
    <t>ORD-1200</t>
  </si>
  <si>
    <t>2025-07-16</t>
  </si>
  <si>
    <t>Todd Lopez</t>
  </si>
  <si>
    <t>ORD-1201</t>
  </si>
  <si>
    <t>Danielle Yoder</t>
  </si>
  <si>
    <t>ORD-1202</t>
  </si>
  <si>
    <t>Ian Barnes</t>
  </si>
  <si>
    <t>ORD-1203</t>
  </si>
  <si>
    <t>2025-12-26</t>
  </si>
  <si>
    <t>CUST-240</t>
  </si>
  <si>
    <t>April Arnold</t>
  </si>
  <si>
    <t>ORD-1204</t>
  </si>
  <si>
    <t>2025-10-16</t>
  </si>
  <si>
    <t>CUST-128</t>
  </si>
  <si>
    <t>Thomas Brennan</t>
  </si>
  <si>
    <t>ORD-1205</t>
  </si>
  <si>
    <t>2025-04-16</t>
  </si>
  <si>
    <t>CUST-283</t>
  </si>
  <si>
    <t>Christine Jordan</t>
  </si>
  <si>
    <t>ORD-1206</t>
  </si>
  <si>
    <t>Stephanie Clark</t>
  </si>
  <si>
    <t>ORD-1207</t>
  </si>
  <si>
    <t>2025-08-05</t>
  </si>
  <si>
    <t>CUST-188</t>
  </si>
  <si>
    <t>Ashley Gallegos</t>
  </si>
  <si>
    <t>ORD-1208</t>
  </si>
  <si>
    <t>2025-11-25</t>
  </si>
  <si>
    <t>Jill Atkins</t>
  </si>
  <si>
    <t>ORD-1209</t>
  </si>
  <si>
    <t>Larry Williams</t>
  </si>
  <si>
    <t>ORD-1210</t>
  </si>
  <si>
    <t>2025-01-12</t>
  </si>
  <si>
    <t>CUST-176</t>
  </si>
  <si>
    <t>Ronald Stevenson</t>
  </si>
  <si>
    <t>ORD-1211</t>
  </si>
  <si>
    <t>2025-02-27</t>
  </si>
  <si>
    <t>Catherine Mueller</t>
  </si>
  <si>
    <t>ORD-1212</t>
  </si>
  <si>
    <t>CUST-280</t>
  </si>
  <si>
    <t>Jason Huynh</t>
  </si>
  <si>
    <t>ORD-1213</t>
  </si>
  <si>
    <t>2025-05-29</t>
  </si>
  <si>
    <t>CUST-159</t>
  </si>
  <si>
    <t>Kristi Levy</t>
  </si>
  <si>
    <t>ORD-1214</t>
  </si>
  <si>
    <t>CUST-156</t>
  </si>
  <si>
    <t>Jordan Mills</t>
  </si>
  <si>
    <t>ORD-1215</t>
  </si>
  <si>
    <t>2025-01-25</t>
  </si>
  <si>
    <t>Dalton Williams</t>
  </si>
  <si>
    <t>ORD-1216</t>
  </si>
  <si>
    <t>Ryan Mitchell</t>
  </si>
  <si>
    <t>ORD-1217</t>
  </si>
  <si>
    <t>CUST-199</t>
  </si>
  <si>
    <t>Jonathan Zuniga</t>
  </si>
  <si>
    <t>ORD-1218</t>
  </si>
  <si>
    <t>Leonard Mullins</t>
  </si>
  <si>
    <t>ORD-1219</t>
  </si>
  <si>
    <t>2025-10-14</t>
  </si>
  <si>
    <t>Karen Herrera</t>
  </si>
  <si>
    <t>ORD-1220</t>
  </si>
  <si>
    <t>2025-09-03</t>
  </si>
  <si>
    <t>CUST-162</t>
  </si>
  <si>
    <t>Christian Matthews</t>
  </si>
  <si>
    <t>ORD-1221</t>
  </si>
  <si>
    <t>2025-06-07</t>
  </si>
  <si>
    <t>CUST-166</t>
  </si>
  <si>
    <t>Michael Davis</t>
  </si>
  <si>
    <t>ORD-1222</t>
  </si>
  <si>
    <t>2025-01-24</t>
  </si>
  <si>
    <t>Robert Barry</t>
  </si>
  <si>
    <t>ORD-1223</t>
  </si>
  <si>
    <t>CUST-158</t>
  </si>
  <si>
    <t>Billy Cameron</t>
  </si>
  <si>
    <t>ORD-1224</t>
  </si>
  <si>
    <t>Rachel Peters</t>
  </si>
  <si>
    <t>ORD-1225</t>
  </si>
  <si>
    <t>2025-01-31</t>
  </si>
  <si>
    <t>Christian Harris</t>
  </si>
  <si>
    <t>ORD-1226</t>
  </si>
  <si>
    <t>CUST-102</t>
  </si>
  <si>
    <t>Janet Gordon</t>
  </si>
  <si>
    <t>ORD-1227</t>
  </si>
  <si>
    <t>Joseph Cohen</t>
  </si>
  <si>
    <t>ORD-1228</t>
  </si>
  <si>
    <t>2025-04-02</t>
  </si>
  <si>
    <t>CUST-127</t>
  </si>
  <si>
    <t>Francisco Spencer</t>
  </si>
  <si>
    <t>ORD-1229</t>
  </si>
  <si>
    <t>Jamie Morgan</t>
  </si>
  <si>
    <t>ORD-1230</t>
  </si>
  <si>
    <t>2025-11-29</t>
  </si>
  <si>
    <t>Christina Garrison</t>
  </si>
  <si>
    <t>ORD-1231</t>
  </si>
  <si>
    <t>2025-02-12</t>
  </si>
  <si>
    <t>CUST-227</t>
  </si>
  <si>
    <t>Thomas Avila</t>
  </si>
  <si>
    <t>ORD-1232</t>
  </si>
  <si>
    <t>2025-09-01</t>
  </si>
  <si>
    <t>Mary Gutierrez</t>
  </si>
  <si>
    <t>ORD-1233</t>
  </si>
  <si>
    <t>2025-04-17</t>
  </si>
  <si>
    <t>Karen Lee</t>
  </si>
  <si>
    <t>ORD-1234</t>
  </si>
  <si>
    <t>Michelle Baker</t>
  </si>
  <si>
    <t>ORD-1235</t>
  </si>
  <si>
    <t>Douglas Munoz</t>
  </si>
  <si>
    <t>ORD-1236</t>
  </si>
  <si>
    <t>2025-07-12</t>
  </si>
  <si>
    <t>Tracy Pittman</t>
  </si>
  <si>
    <t>ORD-1237</t>
  </si>
  <si>
    <t>2025-11-21</t>
  </si>
  <si>
    <t>CUST-139</t>
  </si>
  <si>
    <t>Judy Ortega</t>
  </si>
  <si>
    <t>ORD-1238</t>
  </si>
  <si>
    <t>2025-05-19</t>
  </si>
  <si>
    <t>CUST-126</t>
  </si>
  <si>
    <t>Nathan Foster II</t>
  </si>
  <si>
    <t>ORD-1239</t>
  </si>
  <si>
    <t>Jeremy James</t>
  </si>
  <si>
    <t>ORD-1240</t>
  </si>
  <si>
    <t>Alan Carson</t>
  </si>
  <si>
    <t>ORD-1241</t>
  </si>
  <si>
    <t>Melanie Ramirez</t>
  </si>
  <si>
    <t>ORD-1242</t>
  </si>
  <si>
    <t>Mary Montgomery</t>
  </si>
  <si>
    <t>ORD-1243</t>
  </si>
  <si>
    <t>Susan Jackson</t>
  </si>
  <si>
    <t>ORD-1244</t>
  </si>
  <si>
    <t>CUST-145</t>
  </si>
  <si>
    <t>Hannah Gardner</t>
  </si>
  <si>
    <t>ORD-1245</t>
  </si>
  <si>
    <t>CUST-151</t>
  </si>
  <si>
    <t>Joseph White</t>
  </si>
  <si>
    <t>ORD-1246</t>
  </si>
  <si>
    <t>2025-05-30</t>
  </si>
  <si>
    <t>CUST-277</t>
  </si>
  <si>
    <t>Julia Murphy</t>
  </si>
  <si>
    <t>ORD-1247</t>
  </si>
  <si>
    <t>CUST-196</t>
  </si>
  <si>
    <t>April Martinez</t>
  </si>
  <si>
    <t>ORD-1248</t>
  </si>
  <si>
    <t>2025-01-19</t>
  </si>
  <si>
    <t>CUST-192</t>
  </si>
  <si>
    <t>Deborah Tran</t>
  </si>
  <si>
    <t>ORD-1249</t>
  </si>
  <si>
    <t>Tanya Peterson</t>
  </si>
  <si>
    <t>ORD-1250</t>
  </si>
  <si>
    <t>2025-10-13</t>
  </si>
  <si>
    <t>Melissa Bowman</t>
  </si>
  <si>
    <t>ORD-1251</t>
  </si>
  <si>
    <t>2025-01-13</t>
  </si>
  <si>
    <t>CUST-223</t>
  </si>
  <si>
    <t>Michael Murphy</t>
  </si>
  <si>
    <t>ORD-1252</t>
  </si>
  <si>
    <t>Beth Smith</t>
  </si>
  <si>
    <t>ORD-1253</t>
  </si>
  <si>
    <t>James Carr</t>
  </si>
  <si>
    <t>ORD-1254</t>
  </si>
  <si>
    <t>Charlene Wright</t>
  </si>
  <si>
    <t>ORD-1255</t>
  </si>
  <si>
    <t>Jennifer Mendez</t>
  </si>
  <si>
    <t>ORD-1256</t>
  </si>
  <si>
    <t>CUST-247</t>
  </si>
  <si>
    <t>Jonathan Schneider</t>
  </si>
  <si>
    <t>ORD-1257</t>
  </si>
  <si>
    <t>2025-11-24</t>
  </si>
  <si>
    <t>Christopher Dawson</t>
  </si>
  <si>
    <t>ORD-1258</t>
  </si>
  <si>
    <t>Robert Gallagher</t>
  </si>
  <si>
    <t>ORD-1259</t>
  </si>
  <si>
    <t>CUST-230</t>
  </si>
  <si>
    <t>Matthew Miller</t>
  </si>
  <si>
    <t>ORD-1260</t>
  </si>
  <si>
    <t>Katherine Smith</t>
  </si>
  <si>
    <t>ORD-1261</t>
  </si>
  <si>
    <t>Christie Peterson</t>
  </si>
  <si>
    <t>ORD-1262</t>
  </si>
  <si>
    <t>CUST-225</t>
  </si>
  <si>
    <t>Amanda Hobbs</t>
  </si>
  <si>
    <t>ORD-1263</t>
  </si>
  <si>
    <t>Mark Hood</t>
  </si>
  <si>
    <t>ORD-1264</t>
  </si>
  <si>
    <t>Lisa King</t>
  </si>
  <si>
    <t>ORD-1265</t>
  </si>
  <si>
    <t>CUST-122</t>
  </si>
  <si>
    <t>Michael Jensen</t>
  </si>
  <si>
    <t>ORD-1266</t>
  </si>
  <si>
    <t>Madison Harris</t>
  </si>
  <si>
    <t>ORD-1267</t>
  </si>
  <si>
    <t>Tyler Porter</t>
  </si>
  <si>
    <t>ORD-1268</t>
  </si>
  <si>
    <t>2025-03-09</t>
  </si>
  <si>
    <t>Rachel Gonzales</t>
  </si>
  <si>
    <t>ORD-1269</t>
  </si>
  <si>
    <t>2025-08-20</t>
  </si>
  <si>
    <t>Joseph Christian</t>
  </si>
  <si>
    <t>ORD-1270</t>
  </si>
  <si>
    <t>2025-01-02</t>
  </si>
  <si>
    <t>CUST-298</t>
  </si>
  <si>
    <t>Russell Gomez</t>
  </si>
  <si>
    <t>ORD-1271</t>
  </si>
  <si>
    <t>Holly Brown</t>
  </si>
  <si>
    <t>ORD-1272</t>
  </si>
  <si>
    <t>2025-12-16</t>
  </si>
  <si>
    <t>Trevor Knox</t>
  </si>
  <si>
    <t>ORD-1273</t>
  </si>
  <si>
    <t>Wendy Lozano</t>
  </si>
  <si>
    <t>ORD-1274</t>
  </si>
  <si>
    <t>2025-12-07</t>
  </si>
  <si>
    <t>CUST-266</t>
  </si>
  <si>
    <t>Joseph Adams</t>
  </si>
  <si>
    <t>ORD-1275</t>
  </si>
  <si>
    <t>CUST-222</t>
  </si>
  <si>
    <t>Steven Fitzpatrick</t>
  </si>
  <si>
    <t>ORD-1276</t>
  </si>
  <si>
    <t>Jessica Waters</t>
  </si>
  <si>
    <t>ORD-1277</t>
  </si>
  <si>
    <t>2025-03-12</t>
  </si>
  <si>
    <t>William Alexander</t>
  </si>
  <si>
    <t>ORD-1278</t>
  </si>
  <si>
    <t>Diana Freeman</t>
  </si>
  <si>
    <t>ORD-1279</t>
  </si>
  <si>
    <t>2025-03-05</t>
  </si>
  <si>
    <t>Robert Faulkner</t>
  </si>
  <si>
    <t>ORD-1280</t>
  </si>
  <si>
    <t>2025-11-04</t>
  </si>
  <si>
    <t>Sara Andrade</t>
  </si>
  <si>
    <t>ORD-1281</t>
  </si>
  <si>
    <t>2025-07-20</t>
  </si>
  <si>
    <t>CUST-175</t>
  </si>
  <si>
    <t>Julie Adams</t>
  </si>
  <si>
    <t>ORD-1282</t>
  </si>
  <si>
    <t>2025-01-07</t>
  </si>
  <si>
    <t>Daniel Barnes</t>
  </si>
  <si>
    <t>ORD-1283</t>
  </si>
  <si>
    <t>2025-02-07</t>
  </si>
  <si>
    <t>CUST-104</t>
  </si>
  <si>
    <t>Matthew Vazquez</t>
  </si>
  <si>
    <t>ORD-1284</t>
  </si>
  <si>
    <t>Sandra Thomas</t>
  </si>
  <si>
    <t>ORD-1285</t>
  </si>
  <si>
    <t>Barry Campbell</t>
  </si>
  <si>
    <t>ORD-1286</t>
  </si>
  <si>
    <t>2025-02-03</t>
  </si>
  <si>
    <t>CUST-179</t>
  </si>
  <si>
    <t>Kaitlin Reeves</t>
  </si>
  <si>
    <t>ORD-1287</t>
  </si>
  <si>
    <t>2025-11-08</t>
  </si>
  <si>
    <t>CUST-114</t>
  </si>
  <si>
    <t>Shane Kennedy</t>
  </si>
  <si>
    <t>ORD-1288</t>
  </si>
  <si>
    <t>2025-05-13</t>
  </si>
  <si>
    <t>CUST-142</t>
  </si>
  <si>
    <t>Kimberly Kelly</t>
  </si>
  <si>
    <t>ORD-1289</t>
  </si>
  <si>
    <t>Jeffrey Reeves</t>
  </si>
  <si>
    <t>ORD-1290</t>
  </si>
  <si>
    <t>2025-03-22</t>
  </si>
  <si>
    <t>CUST-165</t>
  </si>
  <si>
    <t>Stacy King</t>
  </si>
  <si>
    <t>ORD-1291</t>
  </si>
  <si>
    <t>David Turner</t>
  </si>
  <si>
    <t>ORD-1292</t>
  </si>
  <si>
    <t>2025-03-03</t>
  </si>
  <si>
    <t>April Glass</t>
  </si>
  <si>
    <t>ORD-1293</t>
  </si>
  <si>
    <t>2025-06-09</t>
  </si>
  <si>
    <t>Kristopher Mitchell</t>
  </si>
  <si>
    <t>ORD-1294</t>
  </si>
  <si>
    <t>2025-08-26</t>
  </si>
  <si>
    <t>Jacqueline White</t>
  </si>
  <si>
    <t>ORD-1295</t>
  </si>
  <si>
    <t>Heather Thompson</t>
  </si>
  <si>
    <t>ORD-1296</t>
  </si>
  <si>
    <t>Johnny Farrell</t>
  </si>
  <si>
    <t>ORD-1297</t>
  </si>
  <si>
    <t>2025-07-10</t>
  </si>
  <si>
    <t>Jessica Lee</t>
  </si>
  <si>
    <t>ORD-1298</t>
  </si>
  <si>
    <t>CUST-133</t>
  </si>
  <si>
    <t>Billy Brown</t>
  </si>
  <si>
    <t>ORD-1299</t>
  </si>
  <si>
    <t>CUST-134</t>
  </si>
  <si>
    <t>Michael Williams</t>
  </si>
  <si>
    <t>ORD-1300</t>
  </si>
  <si>
    <t>Brian Barker</t>
  </si>
  <si>
    <t>ORD-1301</t>
  </si>
  <si>
    <t>Kathy Boyle</t>
  </si>
  <si>
    <t>ORD-1302</t>
  </si>
  <si>
    <t>2025-03-31</t>
  </si>
  <si>
    <t>CUST-107</t>
  </si>
  <si>
    <t>Lisa Williams</t>
  </si>
  <si>
    <t>ORD-1303</t>
  </si>
  <si>
    <t>Dr. Brian Bryant PhD</t>
  </si>
  <si>
    <t>ORD-1304</t>
  </si>
  <si>
    <t>Gina Miller</t>
  </si>
  <si>
    <t>ORD-1305</t>
  </si>
  <si>
    <t>2025-10-21</t>
  </si>
  <si>
    <t>Austin Gross</t>
  </si>
  <si>
    <t>ORD-1306</t>
  </si>
  <si>
    <t>2025-08-17</t>
  </si>
  <si>
    <t>Anthony Smith</t>
  </si>
  <si>
    <t>ORD-1307</t>
  </si>
  <si>
    <t>CUST-207</t>
  </si>
  <si>
    <t>Jessica Wilson</t>
  </si>
  <si>
    <t>ORD-1308</t>
  </si>
  <si>
    <t>2025-10-17</t>
  </si>
  <si>
    <t>Amy Archer</t>
  </si>
  <si>
    <t>ORD-1309</t>
  </si>
  <si>
    <t>CUST-235</t>
  </si>
  <si>
    <t>Abigail Ross</t>
  </si>
  <si>
    <t>ORD-1310</t>
  </si>
  <si>
    <t>2025-04-23</t>
  </si>
  <si>
    <t>Jonathon Robinson</t>
  </si>
  <si>
    <t>ORD-1311</t>
  </si>
  <si>
    <t>Melvin Hamilton</t>
  </si>
  <si>
    <t>ORD-1312</t>
  </si>
  <si>
    <t>Rhonda Robertson</t>
  </si>
  <si>
    <t>ORD-1313</t>
  </si>
  <si>
    <t>2025-11-11</t>
  </si>
  <si>
    <t>Paul Morgan</t>
  </si>
  <si>
    <t>ORD-1314</t>
  </si>
  <si>
    <t>2025-02-26</t>
  </si>
  <si>
    <t>Jim Massey</t>
  </si>
  <si>
    <t>ORD-1315</t>
  </si>
  <si>
    <t>2025-08-12</t>
  </si>
  <si>
    <t>James Baker</t>
  </si>
  <si>
    <t>ORD-1316</t>
  </si>
  <si>
    <t>2025-07-13</t>
  </si>
  <si>
    <t>Ethan Rowe</t>
  </si>
  <si>
    <t>ORD-1317</t>
  </si>
  <si>
    <t>CUST-181</t>
  </si>
  <si>
    <t>Erica Torres</t>
  </si>
  <si>
    <t>ORD-1318</t>
  </si>
  <si>
    <t>Haley Larson</t>
  </si>
  <si>
    <t>ORD-1319</t>
  </si>
  <si>
    <t>2025-05-12</t>
  </si>
  <si>
    <t>Eric Page</t>
  </si>
  <si>
    <t>ORD-1320</t>
  </si>
  <si>
    <t>Juan Ford</t>
  </si>
  <si>
    <t>ORD-1321</t>
  </si>
  <si>
    <t>Kiara Hardy</t>
  </si>
  <si>
    <t>ORD-1322</t>
  </si>
  <si>
    <t>Sara Medina</t>
  </si>
  <si>
    <t>ORD-1323</t>
  </si>
  <si>
    <t>CUST-204</t>
  </si>
  <si>
    <t>Dennis Silva</t>
  </si>
  <si>
    <t>ORD-1324</t>
  </si>
  <si>
    <t>2025-09-09</t>
  </si>
  <si>
    <t>Beth Roberts</t>
  </si>
  <si>
    <t>ORD-1325</t>
  </si>
  <si>
    <t>Susan Phelps</t>
  </si>
  <si>
    <t>ORD-1326</t>
  </si>
  <si>
    <t>Brandon Smith</t>
  </si>
  <si>
    <t>ORD-1327</t>
  </si>
  <si>
    <t>2025-04-26</t>
  </si>
  <si>
    <t>Ann Garcia</t>
  </si>
  <si>
    <t>ORD-1328</t>
  </si>
  <si>
    <t>2025-10-29</t>
  </si>
  <si>
    <t>Jesus Roberts</t>
  </si>
  <si>
    <t>ORD-1329</t>
  </si>
  <si>
    <t>John Anderson</t>
  </si>
  <si>
    <t>ORD-1330</t>
  </si>
  <si>
    <t>Anna Gibson MD</t>
  </si>
  <si>
    <t>ORD-1331</t>
  </si>
  <si>
    <t>Briana Jones</t>
  </si>
  <si>
    <t>ORD-1332</t>
  </si>
  <si>
    <t>Marilyn Erickson</t>
  </si>
  <si>
    <t>ORD-1333</t>
  </si>
  <si>
    <t>Cindy Chandler</t>
  </si>
  <si>
    <t>ORD-1334</t>
  </si>
  <si>
    <t>Gary Jones</t>
  </si>
  <si>
    <t>ORD-1335</t>
  </si>
  <si>
    <t>2025-01-26</t>
  </si>
  <si>
    <t>Katrina Hardy</t>
  </si>
  <si>
    <t>ORD-1336</t>
  </si>
  <si>
    <t>2025-12-17</t>
  </si>
  <si>
    <t>Christine Vasquez</t>
  </si>
  <si>
    <t>ORD-1337</t>
  </si>
  <si>
    <t>2025-04-19</t>
  </si>
  <si>
    <t>David Haynes</t>
  </si>
  <si>
    <t>ORD-1338</t>
  </si>
  <si>
    <t>2025-03-11</t>
  </si>
  <si>
    <t>Michael Johnson</t>
  </si>
  <si>
    <t>ORD-1339</t>
  </si>
  <si>
    <t>Michael Ortiz</t>
  </si>
  <si>
    <t>ORD-1340</t>
  </si>
  <si>
    <t>Christina Carney</t>
  </si>
  <si>
    <t>ORD-1341</t>
  </si>
  <si>
    <t>Jennifer Myers</t>
  </si>
  <si>
    <t>ORD-1342</t>
  </si>
  <si>
    <t>Kristin Silva</t>
  </si>
  <si>
    <t>ORD-1343</t>
  </si>
  <si>
    <t>2025-12-30</t>
  </si>
  <si>
    <t>Sophia Anderson</t>
  </si>
  <si>
    <t>ORD-1344</t>
  </si>
  <si>
    <t>2025-11-16</t>
  </si>
  <si>
    <t>Richard Thomas</t>
  </si>
  <si>
    <t>ORD-1345</t>
  </si>
  <si>
    <t>Jeremy Hill</t>
  </si>
  <si>
    <t>ORD-1346</t>
  </si>
  <si>
    <t>Maria Spencer</t>
  </si>
  <si>
    <t>ORD-1347</t>
  </si>
  <si>
    <t>2025-01-14</t>
  </si>
  <si>
    <t>Paul Rice</t>
  </si>
  <si>
    <t>ORD-1348</t>
  </si>
  <si>
    <t>2025-06-25</t>
  </si>
  <si>
    <t>CUST-285</t>
  </si>
  <si>
    <t>Angela Lee</t>
  </si>
  <si>
    <t>ORD-1349</t>
  </si>
  <si>
    <t>CUST-146</t>
  </si>
  <si>
    <t>Michael Carter DDS</t>
  </si>
  <si>
    <t>ORD-1350</t>
  </si>
  <si>
    <t>Donald Elliott</t>
  </si>
  <si>
    <t>ORD-1351</t>
  </si>
  <si>
    <t>Vincent Molina</t>
  </si>
  <si>
    <t>ORD-1352</t>
  </si>
  <si>
    <t>2025-04-10</t>
  </si>
  <si>
    <t>Erica Brown</t>
  </si>
  <si>
    <t>ORD-1353</t>
  </si>
  <si>
    <t>2025-10-19</t>
  </si>
  <si>
    <t>Alexander Harvey</t>
  </si>
  <si>
    <t>ORD-1354</t>
  </si>
  <si>
    <t>Dean Johnson</t>
  </si>
  <si>
    <t>ORD-1355</t>
  </si>
  <si>
    <t>2025-08-11</t>
  </si>
  <si>
    <t>Candace Miller</t>
  </si>
  <si>
    <t>ORD-1356</t>
  </si>
  <si>
    <t>2025-01-08</t>
  </si>
  <si>
    <t>Jason Leach</t>
  </si>
  <si>
    <t>ORD-1357</t>
  </si>
  <si>
    <t>CUST-198</t>
  </si>
  <si>
    <t>Lisa Mathis</t>
  </si>
  <si>
    <t>ORD-1358</t>
  </si>
  <si>
    <t>Vicki Hawkins</t>
  </si>
  <si>
    <t>ORD-1359</t>
  </si>
  <si>
    <t>2025-04-25</t>
  </si>
  <si>
    <t>Krystal Love</t>
  </si>
  <si>
    <t>ORD-1360</t>
  </si>
  <si>
    <t>Crystal Moon</t>
  </si>
  <si>
    <t>ORD-1361</t>
  </si>
  <si>
    <t>Debbie Yoder</t>
  </si>
  <si>
    <t>ORD-1362</t>
  </si>
  <si>
    <t>CUST-261</t>
  </si>
  <si>
    <t>Lawrence Nelson</t>
  </si>
  <si>
    <t>ORD-1363</t>
  </si>
  <si>
    <t>2025-02-23</t>
  </si>
  <si>
    <t>Derek Tucker</t>
  </si>
  <si>
    <t>ORD-1364</t>
  </si>
  <si>
    <t>Megan Chung</t>
  </si>
  <si>
    <t>ORD-1365</t>
  </si>
  <si>
    <t>2025-06-19</t>
  </si>
  <si>
    <t>Rhonda Delacruz</t>
  </si>
  <si>
    <t>ORD-1366</t>
  </si>
  <si>
    <t>Jonathan George</t>
  </si>
  <si>
    <t>ORD-1367</t>
  </si>
  <si>
    <t>Bruce Jackson</t>
  </si>
  <si>
    <t>ORD-1368</t>
  </si>
  <si>
    <t>Ryan Wilson</t>
  </si>
  <si>
    <t>ORD-1369</t>
  </si>
  <si>
    <t>2025-05-20</t>
  </si>
  <si>
    <t>Carolyn Lewis</t>
  </si>
  <si>
    <t>ORD-1370</t>
  </si>
  <si>
    <t>Rebecca Swanson</t>
  </si>
  <si>
    <t>ORD-1371</t>
  </si>
  <si>
    <t>Mallory Smith</t>
  </si>
  <si>
    <t>ORD-1372</t>
  </si>
  <si>
    <t>2025-12-14</t>
  </si>
  <si>
    <t>Carla Walsh</t>
  </si>
  <si>
    <t>ORD-1373</t>
  </si>
  <si>
    <t>Mary Ramirez</t>
  </si>
  <si>
    <t>ORD-1374</t>
  </si>
  <si>
    <t>2025-08-29</t>
  </si>
  <si>
    <t>CUST-226</t>
  </si>
  <si>
    <t>Zachary Bates</t>
  </si>
  <si>
    <t>ORD-1375</t>
  </si>
  <si>
    <t>CUST-203</t>
  </si>
  <si>
    <t>Vanessa Nguyen</t>
  </si>
  <si>
    <t>ORD-1376</t>
  </si>
  <si>
    <t>2025-09-12</t>
  </si>
  <si>
    <t>Anne Roberts</t>
  </si>
  <si>
    <t>ORD-1377</t>
  </si>
  <si>
    <t>Tiffany Bullock</t>
  </si>
  <si>
    <t>ORD-1378</t>
  </si>
  <si>
    <t>Stephanie Holmes</t>
  </si>
  <si>
    <t>ORD-1379</t>
  </si>
  <si>
    <t>Stephen Gonzalez</t>
  </si>
  <si>
    <t>ORD-1380</t>
  </si>
  <si>
    <t>2025-07-29</t>
  </si>
  <si>
    <t>Matthew Cruz</t>
  </si>
  <si>
    <t>ORD-1381</t>
  </si>
  <si>
    <t>2025-02-25</t>
  </si>
  <si>
    <t>Wendy Welch</t>
  </si>
  <si>
    <t>ORD-1382</t>
  </si>
  <si>
    <t>2025-09-13</t>
  </si>
  <si>
    <t>Jeffrey Cunningham</t>
  </si>
  <si>
    <t>ORD-1383</t>
  </si>
  <si>
    <t>2025-03-30</t>
  </si>
  <si>
    <t>Thomas Richardson</t>
  </si>
  <si>
    <t>ORD-1384</t>
  </si>
  <si>
    <t>Jennifer Armstrong</t>
  </si>
  <si>
    <t>ORD-1385</t>
  </si>
  <si>
    <t>Justin Young</t>
  </si>
  <si>
    <t>ORD-1386</t>
  </si>
  <si>
    <t>Jerry Fernandez</t>
  </si>
  <si>
    <t>ORD-1387</t>
  </si>
  <si>
    <t>Candace Gray</t>
  </si>
  <si>
    <t>ORD-1388</t>
  </si>
  <si>
    <t>2025-01-28</t>
  </si>
  <si>
    <t>CUST-271</t>
  </si>
  <si>
    <t>Andre Compton</t>
  </si>
  <si>
    <t>ORD-1389</t>
  </si>
  <si>
    <t>2025-04-15</t>
  </si>
  <si>
    <t>Darlene Mckinney</t>
  </si>
  <si>
    <t>ORD-1390</t>
  </si>
  <si>
    <t>Arthur Chavez</t>
  </si>
  <si>
    <t>ORD-1391</t>
  </si>
  <si>
    <t>Penny Owens</t>
  </si>
  <si>
    <t>ORD-1392</t>
  </si>
  <si>
    <t>2025-04-11</t>
  </si>
  <si>
    <t>David Clark DDS</t>
  </si>
  <si>
    <t>ORD-1393</t>
  </si>
  <si>
    <t>Austin Brown</t>
  </si>
  <si>
    <t>ORD-1394</t>
  </si>
  <si>
    <t>Chelsea Chan</t>
  </si>
  <si>
    <t>ORD-1395</t>
  </si>
  <si>
    <t>Mike Turner</t>
  </si>
  <si>
    <t>ORD-1396</t>
  </si>
  <si>
    <t>2025-10-06</t>
  </si>
  <si>
    <t>Manuel Lawson</t>
  </si>
  <si>
    <t>ORD-1397</t>
  </si>
  <si>
    <t>Robert Taylor</t>
  </si>
  <si>
    <t>ORD-1398</t>
  </si>
  <si>
    <t>Heather Myers</t>
  </si>
  <si>
    <t>ORD-1399</t>
  </si>
  <si>
    <t>CUST-214</t>
  </si>
  <si>
    <t>Tara Lopez</t>
  </si>
  <si>
    <t>ORD-1400</t>
  </si>
  <si>
    <t>Ronald Le</t>
  </si>
  <si>
    <t>ORD-1401</t>
  </si>
  <si>
    <t>Dana Cole</t>
  </si>
  <si>
    <t>ORD-1402</t>
  </si>
  <si>
    <t>CUST-242</t>
  </si>
  <si>
    <t>Angel Lopez</t>
  </si>
  <si>
    <t>ORD-1403</t>
  </si>
  <si>
    <t>Jonathan Williams</t>
  </si>
  <si>
    <t>ORD-1404</t>
  </si>
  <si>
    <t>Matthew Schmidt</t>
  </si>
  <si>
    <t>ORD-1405</t>
  </si>
  <si>
    <t>Kimberly Johnson</t>
  </si>
  <si>
    <t>ORD-1406</t>
  </si>
  <si>
    <t>CUST-200</t>
  </si>
  <si>
    <t>Aaron Price</t>
  </si>
  <si>
    <t>ORD-1407</t>
  </si>
  <si>
    <t>James Washington</t>
  </si>
  <si>
    <t>ORD-1408</t>
  </si>
  <si>
    <t>Kelly Davis</t>
  </si>
  <si>
    <t>ORD-1409</t>
  </si>
  <si>
    <t>Bryan Crosby</t>
  </si>
  <si>
    <t>ORD-1410</t>
  </si>
  <si>
    <t>Rachel Stewart</t>
  </si>
  <si>
    <t>ORD-1411</t>
  </si>
  <si>
    <t>2025-04-24</t>
  </si>
  <si>
    <t>Marcus Green</t>
  </si>
  <si>
    <t>ORD-1412</t>
  </si>
  <si>
    <t>2025-06-06</t>
  </si>
  <si>
    <t>Brittany Andrews</t>
  </si>
  <si>
    <t>ORD-1413</t>
  </si>
  <si>
    <t>David Hahn</t>
  </si>
  <si>
    <t>ORD-1414</t>
  </si>
  <si>
    <t>David Miller</t>
  </si>
  <si>
    <t>ORD-1415</t>
  </si>
  <si>
    <t>William Lynch</t>
  </si>
  <si>
    <t>ORD-1416</t>
  </si>
  <si>
    <t>2025-09-21</t>
  </si>
  <si>
    <t>Tracy Willis</t>
  </si>
  <si>
    <t>ORD-1417</t>
  </si>
  <si>
    <t>2025-09-07</t>
  </si>
  <si>
    <t>Samantha Wilson</t>
  </si>
  <si>
    <t>ORD-1418</t>
  </si>
  <si>
    <t>Erin Small</t>
  </si>
  <si>
    <t>ORD-1419</t>
  </si>
  <si>
    <t>Evan Williams</t>
  </si>
  <si>
    <t>ORD-1420</t>
  </si>
  <si>
    <t>Ryan Mccarthy</t>
  </si>
  <si>
    <t>ORD-1421</t>
  </si>
  <si>
    <t>Mary Taylor</t>
  </si>
  <si>
    <t>ORD-1422</t>
  </si>
  <si>
    <t>Anna Price</t>
  </si>
  <si>
    <t>ORD-1423</t>
  </si>
  <si>
    <t>Katherine Carroll</t>
  </si>
  <si>
    <t>ORD-1424</t>
  </si>
  <si>
    <t>2025-12-05</t>
  </si>
  <si>
    <t>Jennifer Mccoy</t>
  </si>
  <si>
    <t>ORD-1425</t>
  </si>
  <si>
    <t>Janet Yang</t>
  </si>
  <si>
    <t>ORD-1426</t>
  </si>
  <si>
    <t>Joyce Brown</t>
  </si>
  <si>
    <t>ORD-1427</t>
  </si>
  <si>
    <t>2025-09-30</t>
  </si>
  <si>
    <t>Jason Mcpherson</t>
  </si>
  <si>
    <t>ORD-1428</t>
  </si>
  <si>
    <t>Michael Turner</t>
  </si>
  <si>
    <t>ORD-1429</t>
  </si>
  <si>
    <t>Emily Perez</t>
  </si>
  <si>
    <t>ORD-1430</t>
  </si>
  <si>
    <t>2025-04-07</t>
  </si>
  <si>
    <t>Peter Leblanc</t>
  </si>
  <si>
    <t>ORD-1431</t>
  </si>
  <si>
    <t>2025-06-11</t>
  </si>
  <si>
    <t>Richard Williams</t>
  </si>
  <si>
    <t>ORD-1432</t>
  </si>
  <si>
    <t>Sean Shannon</t>
  </si>
  <si>
    <t>ORD-1433</t>
  </si>
  <si>
    <t>2025-05-10</t>
  </si>
  <si>
    <t>Samantha Lee</t>
  </si>
  <si>
    <t>ORD-1434</t>
  </si>
  <si>
    <t>Juan Smith</t>
  </si>
  <si>
    <t>ORD-1435</t>
  </si>
  <si>
    <t>Daniel Powell</t>
  </si>
  <si>
    <t>ORD-1436</t>
  </si>
  <si>
    <t>2025-07-25</t>
  </si>
  <si>
    <t>Alexandra Garcia</t>
  </si>
  <si>
    <t>ORD-1437</t>
  </si>
  <si>
    <t>2025-09-23</t>
  </si>
  <si>
    <t>Nathaniel Case</t>
  </si>
  <si>
    <t>ORD-1438</t>
  </si>
  <si>
    <t>Kevin Smith</t>
  </si>
  <si>
    <t>ORD-1439</t>
  </si>
  <si>
    <t>Mr. Timothy Harmon</t>
  </si>
  <si>
    <t>ORD-1440</t>
  </si>
  <si>
    <t>Kristin Chapman</t>
  </si>
  <si>
    <t>ORD-1441</t>
  </si>
  <si>
    <t>2025-03-01</t>
  </si>
  <si>
    <t>Wendy Contreras</t>
  </si>
  <si>
    <t>ORD-1442</t>
  </si>
  <si>
    <t>Mark Chambers</t>
  </si>
  <si>
    <t>ORD-1443</t>
  </si>
  <si>
    <t>Jeffrey Glover</t>
  </si>
  <si>
    <t>ORD-1444</t>
  </si>
  <si>
    <t>Chad Anderson</t>
  </si>
  <si>
    <t>ORD-1445</t>
  </si>
  <si>
    <t>William Cook</t>
  </si>
  <si>
    <t>ORD-1446</t>
  </si>
  <si>
    <t>David Russell</t>
  </si>
  <si>
    <t>ORD-1447</t>
  </si>
  <si>
    <t>Adam Sanders</t>
  </si>
  <si>
    <t>ORD-1448</t>
  </si>
  <si>
    <t>Kenneth Rodriguez</t>
  </si>
  <si>
    <t>ORD-1449</t>
  </si>
  <si>
    <t>Karen Richardson</t>
  </si>
  <si>
    <t>ORD-1450</t>
  </si>
  <si>
    <t>2025-04-06</t>
  </si>
  <si>
    <t>Mary Acosta</t>
  </si>
  <si>
    <t>ORD-1451</t>
  </si>
  <si>
    <t>Amy Johnson</t>
  </si>
  <si>
    <t>ORD-1452</t>
  </si>
  <si>
    <t>Mark Gilbert</t>
  </si>
  <si>
    <t>ORD-1453</t>
  </si>
  <si>
    <t>2025-01-05</t>
  </si>
  <si>
    <t>Cristina Brewer</t>
  </si>
  <si>
    <t>ORD-1454</t>
  </si>
  <si>
    <t>Erik Larson</t>
  </si>
  <si>
    <t>ORD-1455</t>
  </si>
  <si>
    <t>2025-07-04</t>
  </si>
  <si>
    <t>Madison Hess</t>
  </si>
  <si>
    <t>ORD-1456</t>
  </si>
  <si>
    <t>Ryan Olson</t>
  </si>
  <si>
    <t>ORD-1457</t>
  </si>
  <si>
    <t>2025-07-15</t>
  </si>
  <si>
    <t>Dr. Morgan Kent</t>
  </si>
  <si>
    <t>ORD-1458</t>
  </si>
  <si>
    <t>2025-02-06</t>
  </si>
  <si>
    <t>Jennifer Phillips</t>
  </si>
  <si>
    <t>ORD-1459</t>
  </si>
  <si>
    <t>Robert Holland</t>
  </si>
  <si>
    <t>ORD-1460</t>
  </si>
  <si>
    <t>Joseph Soto</t>
  </si>
  <si>
    <t>ORD-1461</t>
  </si>
  <si>
    <t>Kaylee Jennings</t>
  </si>
  <si>
    <t>ORD-1462</t>
  </si>
  <si>
    <t>2025-05-07</t>
  </si>
  <si>
    <t>CUST-288</t>
  </si>
  <si>
    <t>Samuel Roberts</t>
  </si>
  <si>
    <t>ORD-1463</t>
  </si>
  <si>
    <t>Toni Freeman</t>
  </si>
  <si>
    <t>ORD-1464</t>
  </si>
  <si>
    <t>2025-11-22</t>
  </si>
  <si>
    <t>David Todd</t>
  </si>
  <si>
    <t>ORD-1465</t>
  </si>
  <si>
    <t>2025-03-21</t>
  </si>
  <si>
    <t>James Clark</t>
  </si>
  <si>
    <t>ORD-1466</t>
  </si>
  <si>
    <t>2025-09-02</t>
  </si>
  <si>
    <t>Angela Odonnell</t>
  </si>
  <si>
    <t>ORD-1467</t>
  </si>
  <si>
    <t>Parker Moyer</t>
  </si>
  <si>
    <t>ORD-1468</t>
  </si>
  <si>
    <t>2025-11-10</t>
  </si>
  <si>
    <t>Christopher Hall</t>
  </si>
  <si>
    <t>ORD-1469</t>
  </si>
  <si>
    <t>Ryan Fernandez</t>
  </si>
  <si>
    <t>ORD-1470</t>
  </si>
  <si>
    <t>CUST-147</t>
  </si>
  <si>
    <t>Anthony Wood</t>
  </si>
  <si>
    <t>ORD-1471</t>
  </si>
  <si>
    <t>2025-04-22</t>
  </si>
  <si>
    <t>CUST-187</t>
  </si>
  <si>
    <t>Nicole Williams</t>
  </si>
  <si>
    <t>ORD-1472</t>
  </si>
  <si>
    <t>Elizabeth Hart</t>
  </si>
  <si>
    <t>ORD-1473</t>
  </si>
  <si>
    <t>Oscar Fischer</t>
  </si>
  <si>
    <t>ORD-1474</t>
  </si>
  <si>
    <t>Tina Robinson</t>
  </si>
  <si>
    <t>ORD-1475</t>
  </si>
  <si>
    <t>Sheila Ramos</t>
  </si>
  <si>
    <t>ORD-1476</t>
  </si>
  <si>
    <t>Deanna Gutierrez</t>
  </si>
  <si>
    <t>ORD-1477</t>
  </si>
  <si>
    <t>CUST-123</t>
  </si>
  <si>
    <t>Wesley Murray</t>
  </si>
  <si>
    <t>ORD-1478</t>
  </si>
  <si>
    <t>Marie Navarro</t>
  </si>
  <si>
    <t>ORD-1479</t>
  </si>
  <si>
    <t>William Johnson</t>
  </si>
  <si>
    <t>ORD-1480</t>
  </si>
  <si>
    <t>2025-08-28</t>
  </si>
  <si>
    <t>Michael Clarke</t>
  </si>
  <si>
    <t>ORD-1481</t>
  </si>
  <si>
    <t>2025-01-01</t>
  </si>
  <si>
    <t>Sarah Morris</t>
  </si>
  <si>
    <t>ORD-1482</t>
  </si>
  <si>
    <t>CUST-268</t>
  </si>
  <si>
    <t>Beth Flynn</t>
  </si>
  <si>
    <t>ORD-1483</t>
  </si>
  <si>
    <t>Scott Thompson</t>
  </si>
  <si>
    <t>ORD-1484</t>
  </si>
  <si>
    <t>Mr. Michael Perez</t>
  </si>
  <si>
    <t>ORD-1485</t>
  </si>
  <si>
    <t>CUST-103</t>
  </si>
  <si>
    <t>Benjamin Poole</t>
  </si>
  <si>
    <t>ORD-1486</t>
  </si>
  <si>
    <t>2025-12-29</t>
  </si>
  <si>
    <t>Christian Gordon</t>
  </si>
  <si>
    <t>ORD-1487</t>
  </si>
  <si>
    <t>Sabrina Clay</t>
  </si>
  <si>
    <t>ORD-1488</t>
  </si>
  <si>
    <t>Christopher Rosales</t>
  </si>
  <si>
    <t>ORD-1489</t>
  </si>
  <si>
    <t>Laura Carroll</t>
  </si>
  <si>
    <t>ORD-1490</t>
  </si>
  <si>
    <t>Terry Ochoa</t>
  </si>
  <si>
    <t>ORD-1491</t>
  </si>
  <si>
    <t>Renee Avery</t>
  </si>
  <si>
    <t>ORD-1492</t>
  </si>
  <si>
    <t>Brian Campos IV</t>
  </si>
  <si>
    <t>ORD-1493</t>
  </si>
  <si>
    <t>Ryan Vargas</t>
  </si>
  <si>
    <t>ORD-1494</t>
  </si>
  <si>
    <t>Dylan Gregory</t>
  </si>
  <si>
    <t>ORD-1495</t>
  </si>
  <si>
    <t>Cathy Castro</t>
  </si>
  <si>
    <t>ORD-1496</t>
  </si>
  <si>
    <t>Joseph Smith</t>
  </si>
  <si>
    <t>ORD-1497</t>
  </si>
  <si>
    <t>Amanda Brown</t>
  </si>
  <si>
    <t>ORD-1498</t>
  </si>
  <si>
    <t>Dylan Dean</t>
  </si>
  <si>
    <t>ORD-1499</t>
  </si>
  <si>
    <t>Ronald Elliott</t>
  </si>
  <si>
    <t>ORD-1500</t>
  </si>
  <si>
    <t>Erica Tucker</t>
  </si>
  <si>
    <t>ORD-1501</t>
  </si>
  <si>
    <t>Jackie Miller</t>
  </si>
  <si>
    <t>ORD-1502</t>
  </si>
  <si>
    <t>Tyler Carroll</t>
  </si>
  <si>
    <t>ORD-1503</t>
  </si>
  <si>
    <t>Larry Rice</t>
  </si>
  <si>
    <t>ORD-1504</t>
  </si>
  <si>
    <t>2025-12-22</t>
  </si>
  <si>
    <t>Rachel Kramer DVM</t>
  </si>
  <si>
    <t>ORD-1505</t>
  </si>
  <si>
    <t>Andrea Stevens</t>
  </si>
  <si>
    <t>ORD-1506</t>
  </si>
  <si>
    <t>2025-04-13</t>
  </si>
  <si>
    <t>CUST-278</t>
  </si>
  <si>
    <t>Ian Carter</t>
  </si>
  <si>
    <t>ORD-1507</t>
  </si>
  <si>
    <t>David Dickson</t>
  </si>
  <si>
    <t>ORD-1508</t>
  </si>
  <si>
    <t>2025-09-06</t>
  </si>
  <si>
    <t>Troy Johnson</t>
  </si>
  <si>
    <t>ORD-1509</t>
  </si>
  <si>
    <t>2025-09-29</t>
  </si>
  <si>
    <t>Danielle Perez</t>
  </si>
  <si>
    <t>ORD-1510</t>
  </si>
  <si>
    <t>2025-09-14</t>
  </si>
  <si>
    <t>Brenda Ross</t>
  </si>
  <si>
    <t>ORD-1511</t>
  </si>
  <si>
    <t>Joel Doyle</t>
  </si>
  <si>
    <t>ORD-1512</t>
  </si>
  <si>
    <t>2025-10-05</t>
  </si>
  <si>
    <t>Sarah Mitchell</t>
  </si>
  <si>
    <t>ORD-1513</t>
  </si>
  <si>
    <t>Brenda Mccarthy</t>
  </si>
  <si>
    <t>ORD-1514</t>
  </si>
  <si>
    <t>Sara Johnson</t>
  </si>
  <si>
    <t>ORD-1515</t>
  </si>
  <si>
    <t>Jason Wilson</t>
  </si>
  <si>
    <t>ORD-1516</t>
  </si>
  <si>
    <t>Elizabeth Galloway</t>
  </si>
  <si>
    <t>ORD-1517</t>
  </si>
  <si>
    <t>Melissa Montgomery</t>
  </si>
  <si>
    <t>ORD-1518</t>
  </si>
  <si>
    <t>2025-09-08</t>
  </si>
  <si>
    <t>Ryan Garcia</t>
  </si>
  <si>
    <t>ORD-1519</t>
  </si>
  <si>
    <t>Mary Green</t>
  </si>
  <si>
    <t>ORD-1520</t>
  </si>
  <si>
    <t>Charles Young</t>
  </si>
  <si>
    <t>ORD-1521</t>
  </si>
  <si>
    <t>2025-05-27</t>
  </si>
  <si>
    <t>Gary Alvarez</t>
  </si>
  <si>
    <t>ORD-1522</t>
  </si>
  <si>
    <t>Paul Gonzalez</t>
  </si>
  <si>
    <t>ORD-1523</t>
  </si>
  <si>
    <t>Robert Edwards</t>
  </si>
  <si>
    <t>ORD-1524</t>
  </si>
  <si>
    <t>2025-12-28</t>
  </si>
  <si>
    <t>Patrick Schneider</t>
  </si>
  <si>
    <t>ORD-1525</t>
  </si>
  <si>
    <t>Michael Alvarez</t>
  </si>
  <si>
    <t>ORD-1526</t>
  </si>
  <si>
    <t>James Castaneda</t>
  </si>
  <si>
    <t>ORD-1527</t>
  </si>
  <si>
    <t>Pamela Collins</t>
  </si>
  <si>
    <t>ORD-1528</t>
  </si>
  <si>
    <t>Crystal Perez</t>
  </si>
  <si>
    <t>ORD-1529</t>
  </si>
  <si>
    <t>James Payne</t>
  </si>
  <si>
    <t>ORD-1530</t>
  </si>
  <si>
    <t>Mark Frey</t>
  </si>
  <si>
    <t>ORD-1531</t>
  </si>
  <si>
    <t>James Larsen</t>
  </si>
  <si>
    <t>ORD-1532</t>
  </si>
  <si>
    <t>CUST-116</t>
  </si>
  <si>
    <t>Jordan Golden</t>
  </si>
  <si>
    <t>ORD-1533</t>
  </si>
  <si>
    <t>2025-04-18</t>
  </si>
  <si>
    <t>Laurie Vega</t>
  </si>
  <si>
    <t>ORD-1534</t>
  </si>
  <si>
    <t>Timothy Gross</t>
  </si>
  <si>
    <t>ORD-1535</t>
  </si>
  <si>
    <t>Sherri Ayala</t>
  </si>
  <si>
    <t>ORD-1536</t>
  </si>
  <si>
    <t>Shawn Davis</t>
  </si>
  <si>
    <t>ORD-1537</t>
  </si>
  <si>
    <t>2025-05-11</t>
  </si>
  <si>
    <t>Brandon Rose</t>
  </si>
  <si>
    <t>ORD-1538</t>
  </si>
  <si>
    <t>Roger Ramos</t>
  </si>
  <si>
    <t>ORD-1539</t>
  </si>
  <si>
    <t>James Hayes</t>
  </si>
  <si>
    <t>ORD-1540</t>
  </si>
  <si>
    <t>2025-10-12</t>
  </si>
  <si>
    <t>Erica Graham</t>
  </si>
  <si>
    <t>ORD-1541</t>
  </si>
  <si>
    <t>Joshua Davidson</t>
  </si>
  <si>
    <t>ORD-1542</t>
  </si>
  <si>
    <t>Jacqueline Rice</t>
  </si>
  <si>
    <t>ORD-1543</t>
  </si>
  <si>
    <t>2025-06-04</t>
  </si>
  <si>
    <t>Brett Romero</t>
  </si>
  <si>
    <t>ORD-1544</t>
  </si>
  <si>
    <t>2025-03-20</t>
  </si>
  <si>
    <t>CUST-148</t>
  </si>
  <si>
    <t>David Johnson</t>
  </si>
  <si>
    <t>ORD-1545</t>
  </si>
  <si>
    <t>2025-09-22</t>
  </si>
  <si>
    <t>Jessica Wright</t>
  </si>
  <si>
    <t>ORD-1546</t>
  </si>
  <si>
    <t>Vincent Turner</t>
  </si>
  <si>
    <t>ORD-1547</t>
  </si>
  <si>
    <t>Kim Mejia</t>
  </si>
  <si>
    <t>ORD-1548</t>
  </si>
  <si>
    <t>2025-05-21</t>
  </si>
  <si>
    <t>Sally Norris</t>
  </si>
  <si>
    <t>ORD-1549</t>
  </si>
  <si>
    <t>Philip Sullivan</t>
  </si>
  <si>
    <t>ORD-1550</t>
  </si>
  <si>
    <t>2025-12-12</t>
  </si>
  <si>
    <t>Maria Cardenas</t>
  </si>
  <si>
    <t>ORD-1551</t>
  </si>
  <si>
    <t>Justin Gonzalez</t>
  </si>
  <si>
    <t>ORD-1552</t>
  </si>
  <si>
    <t>2025-02-17</t>
  </si>
  <si>
    <t>Karen Owens</t>
  </si>
  <si>
    <t>ORD-1553</t>
  </si>
  <si>
    <t>2025-11-12</t>
  </si>
  <si>
    <t>James Osborn</t>
  </si>
  <si>
    <t>ORD-1554</t>
  </si>
  <si>
    <t>Mike Vargas</t>
  </si>
  <si>
    <t>ORD-1555</t>
  </si>
  <si>
    <t>Rebecca Johnson</t>
  </si>
  <si>
    <t>ORD-1556</t>
  </si>
  <si>
    <t>2025-03-23</t>
  </si>
  <si>
    <t>Caitlin Mcguire</t>
  </si>
  <si>
    <t>ORD-1557</t>
  </si>
  <si>
    <t>Keith Rodriguez</t>
  </si>
  <si>
    <t>ORD-1558</t>
  </si>
  <si>
    <t>CUST-124</t>
  </si>
  <si>
    <t>Antonio Strickland</t>
  </si>
  <si>
    <t>ORD-1559</t>
  </si>
  <si>
    <t>Emily Myers</t>
  </si>
  <si>
    <t>ORD-1560</t>
  </si>
  <si>
    <t>Daniel Bryant</t>
  </si>
  <si>
    <t>ORD-1561</t>
  </si>
  <si>
    <t>Timothy Harris</t>
  </si>
  <si>
    <t>ORD-1562</t>
  </si>
  <si>
    <t>David Mcdonald</t>
  </si>
  <si>
    <t>ORD-1563</t>
  </si>
  <si>
    <t>2025-12-31</t>
  </si>
  <si>
    <t>Jonathon Levine</t>
  </si>
  <si>
    <t>ORD-1564</t>
  </si>
  <si>
    <t>Wendy Gutierrez</t>
  </si>
  <si>
    <t>ORD-1565</t>
  </si>
  <si>
    <t>Louis Hudson</t>
  </si>
  <si>
    <t>ORD-1566</t>
  </si>
  <si>
    <t>2025-08-06</t>
  </si>
  <si>
    <t>CUST-259</t>
  </si>
  <si>
    <t>Laura Moreno</t>
  </si>
  <si>
    <t>ORD-1567</t>
  </si>
  <si>
    <t>Jessica Clark</t>
  </si>
  <si>
    <t>ORD-1568</t>
  </si>
  <si>
    <t>2025-10-18</t>
  </si>
  <si>
    <t>Brian Fischer</t>
  </si>
  <si>
    <t>ORD-1569</t>
  </si>
  <si>
    <t>2025-05-24</t>
  </si>
  <si>
    <t>Edward Miller</t>
  </si>
  <si>
    <t>ORD-1570</t>
  </si>
  <si>
    <t>2025-02-09</t>
  </si>
  <si>
    <t>William Taylor</t>
  </si>
  <si>
    <t>ORD-1571</t>
  </si>
  <si>
    <t>Tiffany Escobar</t>
  </si>
  <si>
    <t>ORD-1572</t>
  </si>
  <si>
    <t>Charles Rice</t>
  </si>
  <si>
    <t>ORD-1573</t>
  </si>
  <si>
    <t>CUST-121</t>
  </si>
  <si>
    <t>Jenna Hammond</t>
  </si>
  <si>
    <t>ORD-1574</t>
  </si>
  <si>
    <t>Lisa Jackson</t>
  </si>
  <si>
    <t>ORD-1575</t>
  </si>
  <si>
    <t>2025-09-28</t>
  </si>
  <si>
    <t>Stefanie Perry</t>
  </si>
  <si>
    <t>ORD-1576</t>
  </si>
  <si>
    <t>2025-11-23</t>
  </si>
  <si>
    <t>Ashley Grant</t>
  </si>
  <si>
    <t>ORD-1577</t>
  </si>
  <si>
    <t>Jacob Campbell</t>
  </si>
  <si>
    <t>ORD-1578</t>
  </si>
  <si>
    <t>Kayla Estrada</t>
  </si>
  <si>
    <t>ORD-1579</t>
  </si>
  <si>
    <t>Scott Davila</t>
  </si>
  <si>
    <t>ORD-1580</t>
  </si>
  <si>
    <t>Alyssa Quinn</t>
  </si>
  <si>
    <t>ORD-1581</t>
  </si>
  <si>
    <t>Daniel Cook</t>
  </si>
  <si>
    <t>ORD-1582</t>
  </si>
  <si>
    <t>Robert Hicks</t>
  </si>
  <si>
    <t>ORD-1583</t>
  </si>
  <si>
    <t>2025-11-28</t>
  </si>
  <si>
    <t>David Cruz MD</t>
  </si>
  <si>
    <t>ORD-1584</t>
  </si>
  <si>
    <t>2025-05-22</t>
  </si>
  <si>
    <t>Jennifer Walton</t>
  </si>
  <si>
    <t>ORD-1585</t>
  </si>
  <si>
    <t>Elizabeth Serrano</t>
  </si>
  <si>
    <t>ORD-1586</t>
  </si>
  <si>
    <t>Savannah Lopez</t>
  </si>
  <si>
    <t>ORD-1587</t>
  </si>
  <si>
    <t>Miranda Hanna</t>
  </si>
  <si>
    <t>ORD-1588</t>
  </si>
  <si>
    <t>Michael Butler</t>
  </si>
  <si>
    <t>ORD-1589</t>
  </si>
  <si>
    <t>James West</t>
  </si>
  <si>
    <t>ORD-1590</t>
  </si>
  <si>
    <t>Tony Wilson</t>
  </si>
  <si>
    <t>ORD-1591</t>
  </si>
  <si>
    <t>Greg Reed</t>
  </si>
  <si>
    <t>ORD-1592</t>
  </si>
  <si>
    <t>Steven Allen</t>
  </si>
  <si>
    <t>ORD-1593</t>
  </si>
  <si>
    <t>2025-01-09</t>
  </si>
  <si>
    <t>Derek Henderson</t>
  </si>
  <si>
    <t>ORD-1594</t>
  </si>
  <si>
    <t>Paul Stephenson</t>
  </si>
  <si>
    <t>ORD-1595</t>
  </si>
  <si>
    <t>James Gray</t>
  </si>
  <si>
    <t>ORD-1596</t>
  </si>
  <si>
    <t>Tara Dixon</t>
  </si>
  <si>
    <t>ORD-1597</t>
  </si>
  <si>
    <t>Andrea Chaney</t>
  </si>
  <si>
    <t>ORD-1598</t>
  </si>
  <si>
    <t>2025-10-31</t>
  </si>
  <si>
    <t>Brent Short</t>
  </si>
  <si>
    <t>ORD-1599</t>
  </si>
  <si>
    <t>Bailey Hill</t>
  </si>
  <si>
    <t>ORD-1600</t>
  </si>
  <si>
    <t>Richard Navarro</t>
  </si>
  <si>
    <t>ORD-1601</t>
  </si>
  <si>
    <t>Sarah Curry</t>
  </si>
  <si>
    <t>ORD-1602</t>
  </si>
  <si>
    <t>Bradley Montgomery</t>
  </si>
  <si>
    <t>ORD-1603</t>
  </si>
  <si>
    <t>Heather Reed</t>
  </si>
  <si>
    <t>ORD-1604</t>
  </si>
  <si>
    <t>William Rivera</t>
  </si>
  <si>
    <t>ORD-1605</t>
  </si>
  <si>
    <t>Adrian Green</t>
  </si>
  <si>
    <t>ORD-1606</t>
  </si>
  <si>
    <t>Michael Osborne</t>
  </si>
  <si>
    <t>ORD-1607</t>
  </si>
  <si>
    <t>Jonathon Colon</t>
  </si>
  <si>
    <t>ORD-1608</t>
  </si>
  <si>
    <t>Michael Briggs</t>
  </si>
  <si>
    <t>ORD-1609</t>
  </si>
  <si>
    <t>Sandra Gomez</t>
  </si>
  <si>
    <t>ORD-1610</t>
  </si>
  <si>
    <t>Paul Lawrence</t>
  </si>
  <si>
    <t>ORD-1611</t>
  </si>
  <si>
    <t>Marcus Patel</t>
  </si>
  <si>
    <t>ORD-1612</t>
  </si>
  <si>
    <t>Michael Carlson</t>
  </si>
  <si>
    <t>ORD-1613</t>
  </si>
  <si>
    <t>Michael Rhodes</t>
  </si>
  <si>
    <t>ORD-1614</t>
  </si>
  <si>
    <t>Michelle Thomas</t>
  </si>
  <si>
    <t>ORD-1615</t>
  </si>
  <si>
    <t>Steven Scott</t>
  </si>
  <si>
    <t>ORD-1616</t>
  </si>
  <si>
    <t>Michael Dyer</t>
  </si>
  <si>
    <t>ORD-1617</t>
  </si>
  <si>
    <t>2025-12-24</t>
  </si>
  <si>
    <t>Michelle Brown</t>
  </si>
  <si>
    <t>ORD-1618</t>
  </si>
  <si>
    <t>Nathan Lopez</t>
  </si>
  <si>
    <t>ORD-1619</t>
  </si>
  <si>
    <t>Wendy Jackson</t>
  </si>
  <si>
    <t>ORD-1620</t>
  </si>
  <si>
    <t>CUST-153</t>
  </si>
  <si>
    <t>Robert Nelson</t>
  </si>
  <si>
    <t>ORD-1621</t>
  </si>
  <si>
    <t>Linda Warner</t>
  </si>
  <si>
    <t>ORD-1622</t>
  </si>
  <si>
    <t>Brenda Martinez</t>
  </si>
  <si>
    <t>ORD-1623</t>
  </si>
  <si>
    <t>Jennifer Watkins</t>
  </si>
  <si>
    <t>ORD-1624</t>
  </si>
  <si>
    <t>Jennifer Howard</t>
  </si>
  <si>
    <t>ORD-1625</t>
  </si>
  <si>
    <t>Rhonda Williams</t>
  </si>
  <si>
    <t>ORD-1626</t>
  </si>
  <si>
    <t>2025-10-08</t>
  </si>
  <si>
    <t>CUST-213</t>
  </si>
  <si>
    <t>Justin Kelly</t>
  </si>
  <si>
    <t>ORD-1627</t>
  </si>
  <si>
    <t>Joseph Chapman</t>
  </si>
  <si>
    <t>ORD-1628</t>
  </si>
  <si>
    <t>Zachary Hooper</t>
  </si>
  <si>
    <t>ORD-1629</t>
  </si>
  <si>
    <t>Jennifer Washington</t>
  </si>
  <si>
    <t>ORD-1630</t>
  </si>
  <si>
    <t>Lindsay Taylor</t>
  </si>
  <si>
    <t>ORD-1631</t>
  </si>
  <si>
    <t>Zachary Perez</t>
  </si>
  <si>
    <t>ORD-1632</t>
  </si>
  <si>
    <t>Tim Gardner</t>
  </si>
  <si>
    <t>ORD-1633</t>
  </si>
  <si>
    <t>Jennifer Townsend</t>
  </si>
  <si>
    <t>ORD-1634</t>
  </si>
  <si>
    <t>2025-12-13</t>
  </si>
  <si>
    <t>Jason Barrett</t>
  </si>
  <si>
    <t>ORD-1635</t>
  </si>
  <si>
    <t>Christopher Morgan</t>
  </si>
  <si>
    <t>ORD-1636</t>
  </si>
  <si>
    <t>Jeffrey Martin</t>
  </si>
  <si>
    <t>ORD-1637</t>
  </si>
  <si>
    <t>2025-08-01</t>
  </si>
  <si>
    <t>Tammy Gonzales</t>
  </si>
  <si>
    <t>ORD-1638</t>
  </si>
  <si>
    <t>Angela Stevens</t>
  </si>
  <si>
    <t>ORD-1639</t>
  </si>
  <si>
    <t>Dean Walsh</t>
  </si>
  <si>
    <t>ORD-1640</t>
  </si>
  <si>
    <t>Diana Phillips</t>
  </si>
  <si>
    <t>ORD-1641</t>
  </si>
  <si>
    <t>Anthony Miller</t>
  </si>
  <si>
    <t>ORD-1642</t>
  </si>
  <si>
    <t>Valerie Horn</t>
  </si>
  <si>
    <t>ORD-1643</t>
  </si>
  <si>
    <t>Aaron Jones</t>
  </si>
  <si>
    <t>ORD-1644</t>
  </si>
  <si>
    <t>Kayla Brooks</t>
  </si>
  <si>
    <t>ORD-1645</t>
  </si>
  <si>
    <t>Eric Dominguez</t>
  </si>
  <si>
    <t>ORD-1646</t>
  </si>
  <si>
    <t>Vanessa Cox</t>
  </si>
  <si>
    <t>ORD-1647</t>
  </si>
  <si>
    <t>Michael Nash</t>
  </si>
  <si>
    <t>ORD-1648</t>
  </si>
  <si>
    <t>Austin Williams Jr.</t>
  </si>
  <si>
    <t>ORD-1649</t>
  </si>
  <si>
    <t>CUST-136</t>
  </si>
  <si>
    <t>Timothy Jimenez</t>
  </si>
  <si>
    <t>ORD-1650</t>
  </si>
  <si>
    <t>2025-09-05</t>
  </si>
  <si>
    <t>Dr. Brandon Bullock DDS</t>
  </si>
  <si>
    <t>ORD-1651</t>
  </si>
  <si>
    <t>Teresa Ward</t>
  </si>
  <si>
    <t>ORD-1652</t>
  </si>
  <si>
    <t>Craig Rivera</t>
  </si>
  <si>
    <t>ORD-1653</t>
  </si>
  <si>
    <t>Caitlin Elliott</t>
  </si>
  <si>
    <t>ORD-1654</t>
  </si>
  <si>
    <t>Brandon Jones</t>
  </si>
  <si>
    <t>ORD-1655</t>
  </si>
  <si>
    <t>2025-02-24</t>
  </si>
  <si>
    <t>Katrina Morgan</t>
  </si>
  <si>
    <t>ORD-1656</t>
  </si>
  <si>
    <t>Nicholas Walker</t>
  </si>
  <si>
    <t>ORD-1657</t>
  </si>
  <si>
    <t>Angela Conrad</t>
  </si>
  <si>
    <t>ORD-1658</t>
  </si>
  <si>
    <t>2025-02-05</t>
  </si>
  <si>
    <t>Lindsey Ortega</t>
  </si>
  <si>
    <t>ORD-1659</t>
  </si>
  <si>
    <t>CUST-130</t>
  </si>
  <si>
    <t>Lisa Walls</t>
  </si>
  <si>
    <t>ORD-1660</t>
  </si>
  <si>
    <t>Joseph Lindsey</t>
  </si>
  <si>
    <t>ORD-1661</t>
  </si>
  <si>
    <t>Brianna Horne</t>
  </si>
  <si>
    <t>ORD-1662</t>
  </si>
  <si>
    <t>2025-04-29</t>
  </si>
  <si>
    <t>John Weaver</t>
  </si>
  <si>
    <t>ORD-1663</t>
  </si>
  <si>
    <t>2025-06-17</t>
  </si>
  <si>
    <t>Lisa Ewing</t>
  </si>
  <si>
    <t>ORD-1664</t>
  </si>
  <si>
    <t>2025-05-14</t>
  </si>
  <si>
    <t>Rachel Young</t>
  </si>
  <si>
    <t>ORD-1665</t>
  </si>
  <si>
    <t>Jonathan Wilson</t>
  </si>
  <si>
    <t>ORD-1666</t>
  </si>
  <si>
    <t>Maria Guzman</t>
  </si>
  <si>
    <t>ORD-1667</t>
  </si>
  <si>
    <t>Daniel Malone</t>
  </si>
  <si>
    <t>ORD-1668</t>
  </si>
  <si>
    <t>2025-01-15</t>
  </si>
  <si>
    <t>Brian Hawkins</t>
  </si>
  <si>
    <t>ORD-1669</t>
  </si>
  <si>
    <t>Kimberly Miller</t>
  </si>
  <si>
    <t>ORD-1670</t>
  </si>
  <si>
    <t>Christine Gray</t>
  </si>
  <si>
    <t>ORD-1671</t>
  </si>
  <si>
    <t>David Reyes</t>
  </si>
  <si>
    <t>ORD-1672</t>
  </si>
  <si>
    <t>Nicholas Johnson</t>
  </si>
  <si>
    <t>ORD-1673</t>
  </si>
  <si>
    <t>Jessica Herman</t>
  </si>
  <si>
    <t>ORD-1674</t>
  </si>
  <si>
    <t>Roberta Black</t>
  </si>
  <si>
    <t>ORD-1675</t>
  </si>
  <si>
    <t>Margaret Williamson</t>
  </si>
  <si>
    <t>ORD-1676</t>
  </si>
  <si>
    <t>CUST-164</t>
  </si>
  <si>
    <t>ORD-1677</t>
  </si>
  <si>
    <t>Mr. Ian Gonzales DDS</t>
  </si>
  <si>
    <t>ORD-1678</t>
  </si>
  <si>
    <t>2025-07-06</t>
  </si>
  <si>
    <t>Cassie Ortiz</t>
  </si>
  <si>
    <t>ORD-1679</t>
  </si>
  <si>
    <t>2025-07-31</t>
  </si>
  <si>
    <t>Amy Barron</t>
  </si>
  <si>
    <t>ORD-1680</t>
  </si>
  <si>
    <t>Jessica Mullins</t>
  </si>
  <si>
    <t>ORD-1681</t>
  </si>
  <si>
    <t>2025-05-23</t>
  </si>
  <si>
    <t>Ryan Young</t>
  </si>
  <si>
    <t>ORD-1682</t>
  </si>
  <si>
    <t>Robin Marks</t>
  </si>
  <si>
    <t>ORD-1683</t>
  </si>
  <si>
    <t>Mark Murphy</t>
  </si>
  <si>
    <t>ORD-1684</t>
  </si>
  <si>
    <t>Nicholas Mercado</t>
  </si>
  <si>
    <t>ORD-1685</t>
  </si>
  <si>
    <t>Sophia Johnson</t>
  </si>
  <si>
    <t>ORD-1686</t>
  </si>
  <si>
    <t>CUST-300</t>
  </si>
  <si>
    <t>Beth Martin</t>
  </si>
  <si>
    <t>ORD-1687</t>
  </si>
  <si>
    <t>Christopher Moore MD</t>
  </si>
  <si>
    <t>ORD-1688</t>
  </si>
  <si>
    <t>Robert Bates</t>
  </si>
  <si>
    <t>ORD-1689</t>
  </si>
  <si>
    <t>Katherine Henderson</t>
  </si>
  <si>
    <t>ORD-1690</t>
  </si>
  <si>
    <t>Brittany Steele</t>
  </si>
  <si>
    <t>ORD-1691</t>
  </si>
  <si>
    <t>Tiffany Dean</t>
  </si>
  <si>
    <t>ORD-1692</t>
  </si>
  <si>
    <t>Dylan Ryan</t>
  </si>
  <si>
    <t>ORD-1693</t>
  </si>
  <si>
    <t>Pamela Lynn</t>
  </si>
  <si>
    <t>ORD-1694</t>
  </si>
  <si>
    <t>James Morgan</t>
  </si>
  <si>
    <t>ORD-1695</t>
  </si>
  <si>
    <t>2025-03-28</t>
  </si>
  <si>
    <t>Linda Anderson</t>
  </si>
  <si>
    <t>ORD-1696</t>
  </si>
  <si>
    <t>Edward Matthews</t>
  </si>
  <si>
    <t>ORD-1697</t>
  </si>
  <si>
    <t>2025-09-11</t>
  </si>
  <si>
    <t>Patrick Vance</t>
  </si>
  <si>
    <t>ORD-1698</t>
  </si>
  <si>
    <t>Connie Armstrong</t>
  </si>
  <si>
    <t>ORD-1699</t>
  </si>
  <si>
    <t>Linda Schwartz</t>
  </si>
  <si>
    <t>ORD-1700</t>
  </si>
  <si>
    <t>CUST-115</t>
  </si>
  <si>
    <t>Hannah Lee PhD</t>
  </si>
  <si>
    <t>ORD-1701</t>
  </si>
  <si>
    <t>Devon Gregory</t>
  </si>
  <si>
    <t>ORD-1702</t>
  </si>
  <si>
    <t>2025-09-10</t>
  </si>
  <si>
    <t>Jennifer Camacho</t>
  </si>
  <si>
    <t>ORD-1703</t>
  </si>
  <si>
    <t>2025-03-07</t>
  </si>
  <si>
    <t>Andrew Jenkins</t>
  </si>
  <si>
    <t>ORD-1704</t>
  </si>
  <si>
    <t>Lori Holden</t>
  </si>
  <si>
    <t>ORD-1705</t>
  </si>
  <si>
    <t>Lori Green</t>
  </si>
  <si>
    <t>ORD-1706</t>
  </si>
  <si>
    <t>Michael Gordon</t>
  </si>
  <si>
    <t>ORD-1707</t>
  </si>
  <si>
    <t>Paul Calderon</t>
  </si>
  <si>
    <t>ORD-1708</t>
  </si>
  <si>
    <t>Mr. Gregory Lynch</t>
  </si>
  <si>
    <t>ORD-1709</t>
  </si>
  <si>
    <t>Joshua Peterson</t>
  </si>
  <si>
    <t>ORD-1710</t>
  </si>
  <si>
    <t>Tyler Benton</t>
  </si>
  <si>
    <t>ORD-1711</t>
  </si>
  <si>
    <t>2025-01-29</t>
  </si>
  <si>
    <t>Patricia Brooks</t>
  </si>
  <si>
    <t>ORD-1712</t>
  </si>
  <si>
    <t>Michelle Chandler</t>
  </si>
  <si>
    <t>ORD-1713</t>
  </si>
  <si>
    <t>Chad Castro</t>
  </si>
  <si>
    <t>ORD-1714</t>
  </si>
  <si>
    <t>Hannah Owens</t>
  </si>
  <si>
    <t>ORD-1715</t>
  </si>
  <si>
    <t>Felicia Lewis</t>
  </si>
  <si>
    <t>ORD-1716</t>
  </si>
  <si>
    <t>ORD-1717</t>
  </si>
  <si>
    <t>Kevin Kelly</t>
  </si>
  <si>
    <t>ORD-1718</t>
  </si>
  <si>
    <t>Andrew Norman PhD</t>
  </si>
  <si>
    <t>ORD-1719</t>
  </si>
  <si>
    <t>Allen Ellis</t>
  </si>
  <si>
    <t>ORD-1720</t>
  </si>
  <si>
    <t>John Green</t>
  </si>
  <si>
    <t>ORD-1721</t>
  </si>
  <si>
    <t>Laura Brown</t>
  </si>
  <si>
    <t>ORD-1722</t>
  </si>
  <si>
    <t>Jessica Delacruz</t>
  </si>
  <si>
    <t>ORD-1723</t>
  </si>
  <si>
    <t>Glenn Hall</t>
  </si>
  <si>
    <t>ORD-1724</t>
  </si>
  <si>
    <t>Abigail Le</t>
  </si>
  <si>
    <t>ORD-1725</t>
  </si>
  <si>
    <t>Ian Cervantes</t>
  </si>
  <si>
    <t>ORD-1726</t>
  </si>
  <si>
    <t>2025-07-24</t>
  </si>
  <si>
    <t>Bethany Erickson</t>
  </si>
  <si>
    <t>ORD-1727</t>
  </si>
  <si>
    <t>Mr. John Washington</t>
  </si>
  <si>
    <t>ORD-1728</t>
  </si>
  <si>
    <t>Kyle Ritter</t>
  </si>
  <si>
    <t>ORD-1729</t>
  </si>
  <si>
    <t>Michelle Cunningham</t>
  </si>
  <si>
    <t>ORD-1730</t>
  </si>
  <si>
    <t>2025-12-08</t>
  </si>
  <si>
    <t>Maria Stephens</t>
  </si>
  <si>
    <t>ORD-1731</t>
  </si>
  <si>
    <t>Amy Adams</t>
  </si>
  <si>
    <t>ORD-1732</t>
  </si>
  <si>
    <t>Kimberly Crawford</t>
  </si>
  <si>
    <t>ORD-1733</t>
  </si>
  <si>
    <t>Justin Wells</t>
  </si>
  <si>
    <t>ORD-1734</t>
  </si>
  <si>
    <t>James Navarro</t>
  </si>
  <si>
    <t>ORD-1735</t>
  </si>
  <si>
    <t>Amy Golden</t>
  </si>
  <si>
    <t>ORD-1736</t>
  </si>
  <si>
    <t>Elizabeth Wood</t>
  </si>
  <si>
    <t>ORD-1737</t>
  </si>
  <si>
    <t>Brooke Clark</t>
  </si>
  <si>
    <t>ORD-1738</t>
  </si>
  <si>
    <t>James Scott</t>
  </si>
  <si>
    <t>ORD-1739</t>
  </si>
  <si>
    <t>David Wood</t>
  </si>
  <si>
    <t>ORD-1740</t>
  </si>
  <si>
    <t>Vanessa Erickson</t>
  </si>
  <si>
    <t>ORD-1741</t>
  </si>
  <si>
    <t>Ariel Moore</t>
  </si>
  <si>
    <t>ORD-1742</t>
  </si>
  <si>
    <t>Elizabeth Brown</t>
  </si>
  <si>
    <t>ORD-1743</t>
  </si>
  <si>
    <t>Michelle Lutz</t>
  </si>
  <si>
    <t>ORD-1744</t>
  </si>
  <si>
    <t>Dr. Cory Martin</t>
  </si>
  <si>
    <t>ORD-1745</t>
  </si>
  <si>
    <t>Angela Erickson</t>
  </si>
  <si>
    <t>ORD-1746</t>
  </si>
  <si>
    <t>2025-06-23</t>
  </si>
  <si>
    <t>Joann Stafford</t>
  </si>
  <si>
    <t>ORD-1747</t>
  </si>
  <si>
    <t>Justin Richards</t>
  </si>
  <si>
    <t>ORD-1748</t>
  </si>
  <si>
    <t>Dustin Ferrell</t>
  </si>
  <si>
    <t>ORD-1749</t>
  </si>
  <si>
    <t>2025-05-16</t>
  </si>
  <si>
    <t>Matthew Velez</t>
  </si>
  <si>
    <t>ORD-1750</t>
  </si>
  <si>
    <t>Stephanie Liu</t>
  </si>
  <si>
    <t>ORD-1751</t>
  </si>
  <si>
    <t>Christopher Jones</t>
  </si>
  <si>
    <t>ORD-1752</t>
  </si>
  <si>
    <t>Juan Green</t>
  </si>
  <si>
    <t>ORD-1753</t>
  </si>
  <si>
    <t>John Nelson</t>
  </si>
  <si>
    <t>ORD-1754</t>
  </si>
  <si>
    <t>Michael Castillo</t>
  </si>
  <si>
    <t>ORD-1755</t>
  </si>
  <si>
    <t>Jamie Wells</t>
  </si>
  <si>
    <t>ORD-1756</t>
  </si>
  <si>
    <t>Jose Herrera</t>
  </si>
  <si>
    <t>ORD-1757</t>
  </si>
  <si>
    <t>Brianna Madden</t>
  </si>
  <si>
    <t>ORD-1758</t>
  </si>
  <si>
    <t>David Beck</t>
  </si>
  <si>
    <t>ORD-1759</t>
  </si>
  <si>
    <t>2025-10-24</t>
  </si>
  <si>
    <t>Shelly Brown</t>
  </si>
  <si>
    <t>ORD-1760</t>
  </si>
  <si>
    <t>Hannah Baldwin</t>
  </si>
  <si>
    <t>ORD-1761</t>
  </si>
  <si>
    <t>2025-02-15</t>
  </si>
  <si>
    <t>Kristina Mcgee</t>
  </si>
  <si>
    <t>ORD-1762</t>
  </si>
  <si>
    <t>Catherine Rivera</t>
  </si>
  <si>
    <t>ORD-1763</t>
  </si>
  <si>
    <t>ORD-1764</t>
  </si>
  <si>
    <t>2025-07-28</t>
  </si>
  <si>
    <t>Brian Medina</t>
  </si>
  <si>
    <t>ORD-1765</t>
  </si>
  <si>
    <t>2025-06-05</t>
  </si>
  <si>
    <t>Carrie Lang</t>
  </si>
  <si>
    <t>ORD-1766</t>
  </si>
  <si>
    <t>Jessica Henson</t>
  </si>
  <si>
    <t>ORD-1767</t>
  </si>
  <si>
    <t>Samantha Adams</t>
  </si>
  <si>
    <t>ORD-1768</t>
  </si>
  <si>
    <t>2025-10-01</t>
  </si>
  <si>
    <t>Donald Keith</t>
  </si>
  <si>
    <t>ORD-1769</t>
  </si>
  <si>
    <t>Colleen Garcia</t>
  </si>
  <si>
    <t>ORD-1770</t>
  </si>
  <si>
    <t>Mr. Anthony Nelson</t>
  </si>
  <si>
    <t>ORD-1771</t>
  </si>
  <si>
    <t>Cody Smith</t>
  </si>
  <si>
    <t>ORD-1772</t>
  </si>
  <si>
    <t>CUST-190</t>
  </si>
  <si>
    <t>Jason Estrada</t>
  </si>
  <si>
    <t>ORD-1773</t>
  </si>
  <si>
    <t>Paul Byrd</t>
  </si>
  <si>
    <t>ORD-1774</t>
  </si>
  <si>
    <t>Emily Horton</t>
  </si>
  <si>
    <t>ORD-1775</t>
  </si>
  <si>
    <t>Mike Herrera</t>
  </si>
  <si>
    <t>ORD-1776</t>
  </si>
  <si>
    <t>Henry Brown</t>
  </si>
  <si>
    <t>ORD-1777</t>
  </si>
  <si>
    <t>Deborah White</t>
  </si>
  <si>
    <t>ORD-1778</t>
  </si>
  <si>
    <t>Brent Chung</t>
  </si>
  <si>
    <t>ORD-1779</t>
  </si>
  <si>
    <t>Jackie Sharp</t>
  </si>
  <si>
    <t>ORD-1780</t>
  </si>
  <si>
    <t>Teresa Marquez</t>
  </si>
  <si>
    <t>ORD-1781</t>
  </si>
  <si>
    <t>James Hall</t>
  </si>
  <si>
    <t>ORD-1782</t>
  </si>
  <si>
    <t>2025-06-20</t>
  </si>
  <si>
    <t>ORD-1783</t>
  </si>
  <si>
    <t>2025-01-18</t>
  </si>
  <si>
    <t>Nicholas Jackson</t>
  </si>
  <si>
    <t>ORD-1784</t>
  </si>
  <si>
    <t>Michael Davidson</t>
  </si>
  <si>
    <t>ORD-1785</t>
  </si>
  <si>
    <t>Denise Anderson</t>
  </si>
  <si>
    <t>ORD-1786</t>
  </si>
  <si>
    <t>Robert Davis</t>
  </si>
  <si>
    <t>ORD-1787</t>
  </si>
  <si>
    <t>William Parker</t>
  </si>
  <si>
    <t>ORD-1788</t>
  </si>
  <si>
    <t>Richard Taylor</t>
  </si>
  <si>
    <t>ORD-1789</t>
  </si>
  <si>
    <t>Brittany Smith</t>
  </si>
  <si>
    <t>ORD-1790</t>
  </si>
  <si>
    <t>Robert Mclean</t>
  </si>
  <si>
    <t>ORD-1791</t>
  </si>
  <si>
    <t>Melissa Jones</t>
  </si>
  <si>
    <t>ORD-1792</t>
  </si>
  <si>
    <t>2025-01-22</t>
  </si>
  <si>
    <t>Angela Williams</t>
  </si>
  <si>
    <t>ORD-1793</t>
  </si>
  <si>
    <t>Laura Calhoun</t>
  </si>
  <si>
    <t>ORD-1794</t>
  </si>
  <si>
    <t>Laura Owens</t>
  </si>
  <si>
    <t>ORD-1795</t>
  </si>
  <si>
    <t>Christopher Wilkinson</t>
  </si>
  <si>
    <t>ORD-1796</t>
  </si>
  <si>
    <t>2025-01-11</t>
  </si>
  <si>
    <t>Thomas Carlson</t>
  </si>
  <si>
    <t>ORD-1797</t>
  </si>
  <si>
    <t>Donald Hardy</t>
  </si>
  <si>
    <t>ORD-1798</t>
  </si>
  <si>
    <t>Shannon Hill</t>
  </si>
  <si>
    <t>ORD-1799</t>
  </si>
  <si>
    <t>Grant Miller</t>
  </si>
  <si>
    <t>ORD-1800</t>
  </si>
  <si>
    <t>Samantha Cruz</t>
  </si>
  <si>
    <t>ORD-1801</t>
  </si>
  <si>
    <t>Janet Brock</t>
  </si>
  <si>
    <t>ORD-1802</t>
  </si>
  <si>
    <t>Reginald Wilson</t>
  </si>
  <si>
    <t>ORD-1803</t>
  </si>
  <si>
    <t>Jon Jones</t>
  </si>
  <si>
    <t>ORD-1804</t>
  </si>
  <si>
    <t>Michael Russell</t>
  </si>
  <si>
    <t>ORD-1805</t>
  </si>
  <si>
    <t>Jaime Galvan</t>
  </si>
  <si>
    <t>ORD-1806</t>
  </si>
  <si>
    <t>Thomas Fuentes</t>
  </si>
  <si>
    <t>ORD-1807</t>
  </si>
  <si>
    <t>Kevin Buckley</t>
  </si>
  <si>
    <t>ORD-1808</t>
  </si>
  <si>
    <t>2025-05-25</t>
  </si>
  <si>
    <t>Pamela Li</t>
  </si>
  <si>
    <t>ORD-1809</t>
  </si>
  <si>
    <t>Lisa Ramsey</t>
  </si>
  <si>
    <t>ORD-1810</t>
  </si>
  <si>
    <t>Kyle Peterson</t>
  </si>
  <si>
    <t>ORD-1811</t>
  </si>
  <si>
    <t>Jamie Short</t>
  </si>
  <si>
    <t>ORD-1812</t>
  </si>
  <si>
    <t>Joseph Curtis</t>
  </si>
  <si>
    <t>ORD-1813</t>
  </si>
  <si>
    <t>Lauren Daugherty</t>
  </si>
  <si>
    <t>ORD-1814</t>
  </si>
  <si>
    <t>Erika Thompson</t>
  </si>
  <si>
    <t>ORD-1815</t>
  </si>
  <si>
    <t>Daniel Jenkins</t>
  </si>
  <si>
    <t>ORD-1816</t>
  </si>
  <si>
    <t>Larry Washington</t>
  </si>
  <si>
    <t>ORD-1817</t>
  </si>
  <si>
    <t>Taylor Pruitt</t>
  </si>
  <si>
    <t>ORD-1818</t>
  </si>
  <si>
    <t>Tracey Cruz</t>
  </si>
  <si>
    <t>ORD-1819</t>
  </si>
  <si>
    <t>2025-08-24</t>
  </si>
  <si>
    <t>Elizabeth Kelly</t>
  </si>
  <si>
    <t>ORD-1820</t>
  </si>
  <si>
    <t>Anne Aguirre</t>
  </si>
  <si>
    <t>ORD-1821</t>
  </si>
  <si>
    <t>Anne Figueroa</t>
  </si>
  <si>
    <t>ORD-1822</t>
  </si>
  <si>
    <t>Joshua Reeves</t>
  </si>
  <si>
    <t>ORD-1823</t>
  </si>
  <si>
    <t>Brenda Carson</t>
  </si>
  <si>
    <t>ORD-1824</t>
  </si>
  <si>
    <t>Gary Lee</t>
  </si>
  <si>
    <t>ORD-1825</t>
  </si>
  <si>
    <t>Haley Martin</t>
  </si>
  <si>
    <t>ORD-1826</t>
  </si>
  <si>
    <t>Edward Farrell</t>
  </si>
  <si>
    <t>ORD-1827</t>
  </si>
  <si>
    <t>Victor Patterson</t>
  </si>
  <si>
    <t>ORD-1828</t>
  </si>
  <si>
    <t>2025-11-03</t>
  </si>
  <si>
    <t>Kristie Brown</t>
  </si>
  <si>
    <t>ORD-1829</t>
  </si>
  <si>
    <t>Carlos Thompson MD</t>
  </si>
  <si>
    <t>ORD-1830</t>
  </si>
  <si>
    <t>Michael Silva</t>
  </si>
  <si>
    <t>ORD-1831</t>
  </si>
  <si>
    <t>Amber Johnson</t>
  </si>
  <si>
    <t>ORD-1832</t>
  </si>
  <si>
    <t>Michael Roberts</t>
  </si>
  <si>
    <t>ORD-1833</t>
  </si>
  <si>
    <t>Justin Chung</t>
  </si>
  <si>
    <t>ORD-1834</t>
  </si>
  <si>
    <t>Mrs. Melissa Bell DVM</t>
  </si>
  <si>
    <t>ORD-1835</t>
  </si>
  <si>
    <t>2025-09-19</t>
  </si>
  <si>
    <t>Dawn Ramirez</t>
  </si>
  <si>
    <t>ORD-1836</t>
  </si>
  <si>
    <t>Joshua Petersen</t>
  </si>
  <si>
    <t>ORD-1837</t>
  </si>
  <si>
    <t>Christina Herman</t>
  </si>
  <si>
    <t>ORD-1838</t>
  </si>
  <si>
    <t>Benjamin Wilson</t>
  </si>
  <si>
    <t>ORD-1839</t>
  </si>
  <si>
    <t>Stephanie Hughes</t>
  </si>
  <si>
    <t>ORD-1840</t>
  </si>
  <si>
    <t>Jonathan Davis</t>
  </si>
  <si>
    <t>ORD-1841</t>
  </si>
  <si>
    <t>Tiffany Orozco</t>
  </si>
  <si>
    <t>ORD-1842</t>
  </si>
  <si>
    <t>Curtis Smith</t>
  </si>
  <si>
    <t>ORD-1843</t>
  </si>
  <si>
    <t>Kenneth Lewis</t>
  </si>
  <si>
    <t>ORD-1844</t>
  </si>
  <si>
    <t>Jessica Gonzalez</t>
  </si>
  <si>
    <t>ORD-1845</t>
  </si>
  <si>
    <t>2025-05-26</t>
  </si>
  <si>
    <t>Jessica Russell</t>
  </si>
  <si>
    <t>ORD-1846</t>
  </si>
  <si>
    <t>Jonathan Gardner</t>
  </si>
  <si>
    <t>ORD-1847</t>
  </si>
  <si>
    <t>David Gonzalez</t>
  </si>
  <si>
    <t>ORD-1848</t>
  </si>
  <si>
    <t>Sonya Bailey MD</t>
  </si>
  <si>
    <t>ORD-1849</t>
  </si>
  <si>
    <t>Tyler Henderson</t>
  </si>
  <si>
    <t>ORD-1850</t>
  </si>
  <si>
    <t>John Mitchell</t>
  </si>
  <si>
    <t>ORD-1851</t>
  </si>
  <si>
    <t>2025-02-11</t>
  </si>
  <si>
    <t>Derek Leonard</t>
  </si>
  <si>
    <t>ORD-1852</t>
  </si>
  <si>
    <t>Jacob Santos</t>
  </si>
  <si>
    <t>ORD-1853</t>
  </si>
  <si>
    <t>2025-05-18</t>
  </si>
  <si>
    <t>Robin Bradley</t>
  </si>
  <si>
    <t>ORD-1854</t>
  </si>
  <si>
    <t>Veronica Jackson</t>
  </si>
  <si>
    <t>ORD-1855</t>
  </si>
  <si>
    <t>2025-04-04</t>
  </si>
  <si>
    <t>Tiffany Strickland</t>
  </si>
  <si>
    <t>ORD-1856</t>
  </si>
  <si>
    <t>Sara Boyer</t>
  </si>
  <si>
    <t>ORD-1857</t>
  </si>
  <si>
    <t>2025-01-16</t>
  </si>
  <si>
    <t>Gina Harrison</t>
  </si>
  <si>
    <t>ORD-1858</t>
  </si>
  <si>
    <t>Randall Melton</t>
  </si>
  <si>
    <t>ORD-1859</t>
  </si>
  <si>
    <t>Jacob Phillips</t>
  </si>
  <si>
    <t>ORD-1860</t>
  </si>
  <si>
    <t>Scott Myers</t>
  </si>
  <si>
    <t>ORD-1861</t>
  </si>
  <si>
    <t>2025-05-08</t>
  </si>
  <si>
    <t>Melissa Cruz</t>
  </si>
  <si>
    <t>ORD-1862</t>
  </si>
  <si>
    <t>Mallory Adams</t>
  </si>
  <si>
    <t>ORD-1863</t>
  </si>
  <si>
    <t>Amanda Schwartz</t>
  </si>
  <si>
    <t>ORD-1864</t>
  </si>
  <si>
    <t>David Ward</t>
  </si>
  <si>
    <t>ORD-1865</t>
  </si>
  <si>
    <t>Billy Allen</t>
  </si>
  <si>
    <t>ORD-1866</t>
  </si>
  <si>
    <t>Joseph Walker</t>
  </si>
  <si>
    <t>ORD-1867</t>
  </si>
  <si>
    <t>Stacy Brown</t>
  </si>
  <si>
    <t>ORD-1868</t>
  </si>
  <si>
    <t>Timothy Reyes</t>
  </si>
  <si>
    <t>ORD-1869</t>
  </si>
  <si>
    <t>Heather Crosby</t>
  </si>
  <si>
    <t>ORD-1870</t>
  </si>
  <si>
    <t>Madison Ramirez</t>
  </si>
  <si>
    <t>ORD-1871</t>
  </si>
  <si>
    <t>Paul Dunn</t>
  </si>
  <si>
    <t>ORD-1872</t>
  </si>
  <si>
    <t>Katherine Miller</t>
  </si>
  <si>
    <t>ORD-1873</t>
  </si>
  <si>
    <t>Kim Stephenson</t>
  </si>
  <si>
    <t>ORD-1874</t>
  </si>
  <si>
    <t>Denise Golden</t>
  </si>
  <si>
    <t>ORD-1875</t>
  </si>
  <si>
    <t>Margaret Allen</t>
  </si>
  <si>
    <t>ORD-1876</t>
  </si>
  <si>
    <t>Sydney Daugherty</t>
  </si>
  <si>
    <t>ORD-1877</t>
  </si>
  <si>
    <t>Steven Perez</t>
  </si>
  <si>
    <t>ORD-1878</t>
  </si>
  <si>
    <t>Tammy Flores</t>
  </si>
  <si>
    <t>ORD-1879</t>
  </si>
  <si>
    <t>Catherine Spencer</t>
  </si>
  <si>
    <t>ORD-1880</t>
  </si>
  <si>
    <t>Jeremiah Espinoza</t>
  </si>
  <si>
    <t>ORD-1881</t>
  </si>
  <si>
    <t>Chad Jones</t>
  </si>
  <si>
    <t>ORD-1882</t>
  </si>
  <si>
    <t>Anthony Kim</t>
  </si>
  <si>
    <t>ORD-1883</t>
  </si>
  <si>
    <t>Nathan White</t>
  </si>
  <si>
    <t>ORD-1884</t>
  </si>
  <si>
    <t>Eric Cohen</t>
  </si>
  <si>
    <t>ORD-1885</t>
  </si>
  <si>
    <t>CUST-131</t>
  </si>
  <si>
    <t>Danielle Johnson</t>
  </si>
  <si>
    <t>ORD-1886</t>
  </si>
  <si>
    <t>Krystal Smith</t>
  </si>
  <si>
    <t>ORD-1887</t>
  </si>
  <si>
    <t>Clifford Hodges</t>
  </si>
  <si>
    <t>ORD-1888</t>
  </si>
  <si>
    <t>Jacob Hayes</t>
  </si>
  <si>
    <t>ORD-1889</t>
  </si>
  <si>
    <t>Stacey Robinson</t>
  </si>
  <si>
    <t>ORD-1890</t>
  </si>
  <si>
    <t>Bryan Glenn</t>
  </si>
  <si>
    <t>ORD-1891</t>
  </si>
  <si>
    <t>James Brown</t>
  </si>
  <si>
    <t>ORD-1892</t>
  </si>
  <si>
    <t>Eileen Hall</t>
  </si>
  <si>
    <t>ORD-1893</t>
  </si>
  <si>
    <t>Karen Lane</t>
  </si>
  <si>
    <t>ORD-1894</t>
  </si>
  <si>
    <t>Ryan Simmons</t>
  </si>
  <si>
    <t>ORD-1895</t>
  </si>
  <si>
    <t>Lisa Saunders</t>
  </si>
  <si>
    <t>ORD-1896</t>
  </si>
  <si>
    <t>Patrick Clark</t>
  </si>
  <si>
    <t>ORD-1897</t>
  </si>
  <si>
    <t>Joshua Hayes</t>
  </si>
  <si>
    <t>ORD-1898</t>
  </si>
  <si>
    <t>Lynn Wise</t>
  </si>
  <si>
    <t>ORD-1899</t>
  </si>
  <si>
    <t>Natasha Zavala</t>
  </si>
  <si>
    <t>ORD-1900</t>
  </si>
  <si>
    <t>Christine Espinoza</t>
  </si>
  <si>
    <t>ORD-1901</t>
  </si>
  <si>
    <t>Kelly Stanley</t>
  </si>
  <si>
    <t>ORD-1902</t>
  </si>
  <si>
    <t>Sandra Hughes</t>
  </si>
  <si>
    <t>ORD-1903</t>
  </si>
  <si>
    <t>Chad Fox</t>
  </si>
  <si>
    <t>ORD-1904</t>
  </si>
  <si>
    <t>Elizabeth Carlson</t>
  </si>
  <si>
    <t>ORD-1905</t>
  </si>
  <si>
    <t>Zachary Harris</t>
  </si>
  <si>
    <t>ORD-1906</t>
  </si>
  <si>
    <t>Shelly Wright</t>
  </si>
  <si>
    <t>ORD-1907</t>
  </si>
  <si>
    <t>Andre Cruz</t>
  </si>
  <si>
    <t>ORD-1908</t>
  </si>
  <si>
    <t>Holly Floyd</t>
  </si>
  <si>
    <t>ORD-1909</t>
  </si>
  <si>
    <t>Andrew Diaz</t>
  </si>
  <si>
    <t>ORD-1910</t>
  </si>
  <si>
    <t>Juan Reeves</t>
  </si>
  <si>
    <t>ORD-1911</t>
  </si>
  <si>
    <t>Joyce Bates</t>
  </si>
  <si>
    <t>ORD-1912</t>
  </si>
  <si>
    <t>James Rhodes</t>
  </si>
  <si>
    <t>ORD-1913</t>
  </si>
  <si>
    <t>Matthew Porter</t>
  </si>
  <si>
    <t>ORD-1914</t>
  </si>
  <si>
    <t>Krista Ramirez</t>
  </si>
  <si>
    <t>ORD-1915</t>
  </si>
  <si>
    <t>Aaron Moore PhD</t>
  </si>
  <si>
    <t>ORD-1916</t>
  </si>
  <si>
    <t>Chelsea Greene</t>
  </si>
  <si>
    <t>ORD-1917</t>
  </si>
  <si>
    <t>Kenneth Lee</t>
  </si>
  <si>
    <t>ORD-1918</t>
  </si>
  <si>
    <t>Alicia Sanford</t>
  </si>
  <si>
    <t>ORD-1919</t>
  </si>
  <si>
    <t>Brian Green</t>
  </si>
  <si>
    <t>ORD-1920</t>
  </si>
  <si>
    <t>Brian Diaz</t>
  </si>
  <si>
    <t>ORD-1921</t>
  </si>
  <si>
    <t>Sandra Duarte</t>
  </si>
  <si>
    <t>ORD-1922</t>
  </si>
  <si>
    <t>Nicholas Mendoza</t>
  </si>
  <si>
    <t>ORD-1923</t>
  </si>
  <si>
    <t>Paul Sanford</t>
  </si>
  <si>
    <t>ORD-1924</t>
  </si>
  <si>
    <t>Kelly Jordan</t>
  </si>
  <si>
    <t>ORD-1925</t>
  </si>
  <si>
    <t>Amy Riley</t>
  </si>
  <si>
    <t>ORD-1926</t>
  </si>
  <si>
    <t>James Nguyen MD</t>
  </si>
  <si>
    <t>ORD-1927</t>
  </si>
  <si>
    <t>Michelle Smith</t>
  </si>
  <si>
    <t>ORD-1928</t>
  </si>
  <si>
    <t>Briana Bennett</t>
  </si>
  <si>
    <t>ORD-1929</t>
  </si>
  <si>
    <t>Travis James</t>
  </si>
  <si>
    <t>ORD-1930</t>
  </si>
  <si>
    <t>Anna Trujillo</t>
  </si>
  <si>
    <t>ORD-1931</t>
  </si>
  <si>
    <t>Judith Hurst</t>
  </si>
  <si>
    <t>ORD-1932</t>
  </si>
  <si>
    <t>Jimmy Torres</t>
  </si>
  <si>
    <t>ORD-1933</t>
  </si>
  <si>
    <t>Todd Barton</t>
  </si>
  <si>
    <t>ORD-1934</t>
  </si>
  <si>
    <t>Joseph Carter</t>
  </si>
  <si>
    <t>ORD-1935</t>
  </si>
  <si>
    <t>Catherine Hancock</t>
  </si>
  <si>
    <t>ORD-1936</t>
  </si>
  <si>
    <t>Ashley Cooper</t>
  </si>
  <si>
    <t>ORD-1937</t>
  </si>
  <si>
    <t>Patricia Foster</t>
  </si>
  <si>
    <t>ORD-1938</t>
  </si>
  <si>
    <t>Jeremy Sanchez</t>
  </si>
  <si>
    <t>ORD-1939</t>
  </si>
  <si>
    <t>James Fernandez</t>
  </si>
  <si>
    <t>ORD-1940</t>
  </si>
  <si>
    <t>Timothy Garcia</t>
  </si>
  <si>
    <t>ORD-1941</t>
  </si>
  <si>
    <t>Kim Anderson</t>
  </si>
  <si>
    <t>ORD-1942</t>
  </si>
  <si>
    <t>ORD-1943</t>
  </si>
  <si>
    <t>Vanessa Andrews</t>
  </si>
  <si>
    <t>ORD-1944</t>
  </si>
  <si>
    <t>Andrew Hall</t>
  </si>
  <si>
    <t>ORD-1945</t>
  </si>
  <si>
    <t>Alexandra Marshall</t>
  </si>
  <si>
    <t>ORD-1946</t>
  </si>
  <si>
    <t>Katie Miller</t>
  </si>
  <si>
    <t>ORD-1947</t>
  </si>
  <si>
    <t>Clarence Norton</t>
  </si>
  <si>
    <t>ORD-1948</t>
  </si>
  <si>
    <t>Reginald Smith</t>
  </si>
  <si>
    <t>ORD-1949</t>
  </si>
  <si>
    <t>John Shields</t>
  </si>
  <si>
    <t>ORD-1950</t>
  </si>
  <si>
    <t>William Short</t>
  </si>
  <si>
    <t>ORD-1951</t>
  </si>
  <si>
    <t>Carrie Cox</t>
  </si>
  <si>
    <t>ORD-1952</t>
  </si>
  <si>
    <t>James Burns</t>
  </si>
  <si>
    <t>ORD-1953</t>
  </si>
  <si>
    <t>Justin Wood</t>
  </si>
  <si>
    <t>ORD-1954</t>
  </si>
  <si>
    <t>Christy Bradley</t>
  </si>
  <si>
    <t>ORD-1955</t>
  </si>
  <si>
    <t>Sarah Evans</t>
  </si>
  <si>
    <t>ORD-1956</t>
  </si>
  <si>
    <t>Pamela Shelton</t>
  </si>
  <si>
    <t>ORD-1957</t>
  </si>
  <si>
    <t>Anne Perez</t>
  </si>
  <si>
    <t>ORD-1958</t>
  </si>
  <si>
    <t>ORD-1959</t>
  </si>
  <si>
    <t>Kelly Bowen</t>
  </si>
  <si>
    <t>ORD-1960</t>
  </si>
  <si>
    <t>Luke Jackson</t>
  </si>
  <si>
    <t>ORD-1961</t>
  </si>
  <si>
    <t>Jacob Weeks</t>
  </si>
  <si>
    <t>ORD-1962</t>
  </si>
  <si>
    <t>Laura Robinson</t>
  </si>
  <si>
    <t>ORD-1963</t>
  </si>
  <si>
    <t>Veronica Woods</t>
  </si>
  <si>
    <t>ORD-1964</t>
  </si>
  <si>
    <t>Logan Acosta</t>
  </si>
  <si>
    <t>ORD-1965</t>
  </si>
  <si>
    <t>Ronnie Hood</t>
  </si>
  <si>
    <t>ORD-1966</t>
  </si>
  <si>
    <t>Robin Knox</t>
  </si>
  <si>
    <t>ORD-1967</t>
  </si>
  <si>
    <t>Matthew White</t>
  </si>
  <si>
    <t>ORD-1968</t>
  </si>
  <si>
    <t>Jessica Owens</t>
  </si>
  <si>
    <t>ORD-1969</t>
  </si>
  <si>
    <t>Brianna Lucas</t>
  </si>
  <si>
    <t>ORD-1970</t>
  </si>
  <si>
    <t>Bruce Blake</t>
  </si>
  <si>
    <t>ORD-1971</t>
  </si>
  <si>
    <t>Heather Walter</t>
  </si>
  <si>
    <t>ORD-1972</t>
  </si>
  <si>
    <t>Matthew Joseph</t>
  </si>
  <si>
    <t>ORD-1973</t>
  </si>
  <si>
    <t>Kathryn Ramos</t>
  </si>
  <si>
    <t>ORD-1974</t>
  </si>
  <si>
    <t>Vanessa Schwartz</t>
  </si>
  <si>
    <t>ORD-1975</t>
  </si>
  <si>
    <t>Selena Wells</t>
  </si>
  <si>
    <t>ORD-1976</t>
  </si>
  <si>
    <t>Frank Blanchard</t>
  </si>
  <si>
    <t>ORD-1977</t>
  </si>
  <si>
    <t>Joan Kennedy</t>
  </si>
  <si>
    <t>ORD-1978</t>
  </si>
  <si>
    <t>Timothy Harper</t>
  </si>
  <si>
    <t>ORD-1979</t>
  </si>
  <si>
    <t>2025-10-07</t>
  </si>
  <si>
    <t>Travis Parker</t>
  </si>
  <si>
    <t>ORD-1980</t>
  </si>
  <si>
    <t>Teresa Mejia</t>
  </si>
  <si>
    <t>ORD-1981</t>
  </si>
  <si>
    <t>Dr. Deanna Booker DDS</t>
  </si>
  <si>
    <t>ORD-1982</t>
  </si>
  <si>
    <t>Morgan Perez</t>
  </si>
  <si>
    <t>ORD-1983</t>
  </si>
  <si>
    <t>Allison Garza</t>
  </si>
  <si>
    <t>ORD-1984</t>
  </si>
  <si>
    <t>2025-08-04</t>
  </si>
  <si>
    <t>ORD-1985</t>
  </si>
  <si>
    <t>Kristina Myers</t>
  </si>
  <si>
    <t>ORD-1986</t>
  </si>
  <si>
    <t>Brandon Sims</t>
  </si>
  <si>
    <t>ORD-1987</t>
  </si>
  <si>
    <t>Adam Jordan</t>
  </si>
  <si>
    <t>ORD-1988</t>
  </si>
  <si>
    <t>Warren Brown</t>
  </si>
  <si>
    <t>ORD-1989</t>
  </si>
  <si>
    <t>Michael Hernandez</t>
  </si>
  <si>
    <t>ORD-1990</t>
  </si>
  <si>
    <t>Jody Ford</t>
  </si>
  <si>
    <t>ORD-1991</t>
  </si>
  <si>
    <t>Kelly Singleton</t>
  </si>
  <si>
    <t>ORD-1992</t>
  </si>
  <si>
    <t>Stacey Acosta PhD</t>
  </si>
  <si>
    <t>ORD-1993</t>
  </si>
  <si>
    <t>Laurie Davila</t>
  </si>
  <si>
    <t>ORD-1994</t>
  </si>
  <si>
    <t>Mrs. Mary Martin MD</t>
  </si>
  <si>
    <t>ORD-1995</t>
  </si>
  <si>
    <t>Sarah Meyer</t>
  </si>
  <si>
    <t>ORD-1996</t>
  </si>
  <si>
    <t>Joanne Thompson</t>
  </si>
  <si>
    <t>ORD-1997</t>
  </si>
  <si>
    <t>Michael Jennings</t>
  </si>
  <si>
    <t>ORD-1998</t>
  </si>
  <si>
    <t>Frank Robinson</t>
  </si>
  <si>
    <t>ORD-1999</t>
  </si>
  <si>
    <t>Donna Young</t>
  </si>
  <si>
    <t>ORD-2000</t>
  </si>
  <si>
    <t>George Gomez</t>
  </si>
  <si>
    <t>Column_Name</t>
  </si>
  <si>
    <t>Description</t>
  </si>
  <si>
    <t>Unique identifier for each order</t>
  </si>
  <si>
    <t>Date customer placed the order</t>
  </si>
  <si>
    <t>Unique customer identifier</t>
  </si>
  <si>
    <t>Customer full name</t>
  </si>
  <si>
    <t>Customer business segment</t>
  </si>
  <si>
    <t>Sales region</t>
  </si>
  <si>
    <t>Product category</t>
  </si>
  <si>
    <t>Specific product purchased</t>
  </si>
  <si>
    <t>Number of units purchased</t>
  </si>
  <si>
    <t>Price per unit</t>
  </si>
  <si>
    <t>Total sales amount</t>
  </si>
  <si>
    <t>Discount applied to the order</t>
  </si>
  <si>
    <t>Profit generated from the order</t>
  </si>
  <si>
    <t>Customer payment method</t>
  </si>
  <si>
    <t>Number of days taken for shipping</t>
  </si>
  <si>
    <t>KPI</t>
  </si>
  <si>
    <t>Purpose</t>
  </si>
  <si>
    <t>Total Revenue</t>
  </si>
  <si>
    <t>Measures overall sales performance</t>
  </si>
  <si>
    <t>Total Profit</t>
  </si>
  <si>
    <t>Tracks profitability</t>
  </si>
  <si>
    <t>Profit Margin</t>
  </si>
  <si>
    <t>Evaluates business efficiency</t>
  </si>
  <si>
    <t>Total Orders</t>
  </si>
  <si>
    <t>Tracks transaction volume</t>
  </si>
  <si>
    <t>Average Order Value</t>
  </si>
  <si>
    <t>Measures customer spending behavior</t>
  </si>
  <si>
    <t>Grand Total</t>
  </si>
  <si>
    <t>Sum of Sales</t>
  </si>
  <si>
    <t>Month</t>
  </si>
  <si>
    <t>January</t>
  </si>
  <si>
    <t>February</t>
  </si>
  <si>
    <t>March</t>
  </si>
  <si>
    <t>April</t>
  </si>
  <si>
    <t>May</t>
  </si>
  <si>
    <t>June</t>
  </si>
  <si>
    <t>July</t>
  </si>
  <si>
    <t>August</t>
  </si>
  <si>
    <t>September</t>
  </si>
  <si>
    <t>October</t>
  </si>
  <si>
    <t>November</t>
  </si>
  <si>
    <t>December</t>
  </si>
  <si>
    <t>Monthly Sales Trend</t>
  </si>
  <si>
    <t>Sum of Profit</t>
  </si>
  <si>
    <t>Profit By Region</t>
  </si>
  <si>
    <t>Top Products by Sales</t>
  </si>
  <si>
    <t>Product Category by Sales</t>
  </si>
  <si>
    <t>Ecommerce Sales Performance Dashboard</t>
  </si>
  <si>
    <t>Interactive dashboard analyzing revenue trends, profitability, regional performance, and product insights.</t>
  </si>
  <si>
    <t>TOTAL REVENUE</t>
  </si>
  <si>
    <t>TOTAL PROFIT</t>
  </si>
  <si>
    <t>TOTAL ORDER</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</si>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</sst>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_(&quot;$&quot;* #,##0_);_(&quot;$&quot;* \(#,##0\);_(&quot;$&quot;* &quot;-&quot;??_);_(@_)"/>
    <numFmt numFmtId="166" formatCode="&quot;$&quot;#,##0"/>
  </numFmts>
  <fonts count="12" x14ac:knownFonts="1">
    <font>
      <sz val="11"/>
      <color theme="1"/>
      <name val="Calibri"/>
      <family val="2"/>
      <scheme val="minor"/>
    </font>
    <font>
      <b/>
      <sz val="11"/>
      <name val="Calibri"/>
      <family val="2"/>
    </font>
    <font>
      <sz val="11"/>
      <color theme="1"/>
      <name val="Calibri"/>
      <family val="2"/>
      <scheme val="minor"/>
    </font>
    <font>
      <sz val="20"/>
      <color theme="1"/>
      <name val="Calibri"/>
      <family val="2"/>
      <scheme val="minor"/>
    </font>
    <font>
      <sz val="14"/>
      <color theme="1"/>
      <name val="Calibri"/>
      <family val="2"/>
      <scheme val="minor"/>
    </font>
    <font>
      <sz val="16"/>
      <color theme="1"/>
      <name val="Calibri"/>
      <family val="2"/>
      <scheme val="minor"/>
    </font>
    <font>
      <sz val="13"/>
      <color theme="1"/>
      <name val="Calibri"/>
      <family val="2"/>
      <scheme val="minor"/>
    </font>
    <font>
      <sz val="18"/>
      <color theme="1"/>
      <name val="Calibri"/>
      <family val="2"/>
      <scheme val="minor"/>
    </font>
    <font>
      <sz val="24"/>
      <color theme="1"/>
      <name val="Calibri"/>
      <family val="2"/>
      <scheme val="minor"/>
    </font>
    <font>
      <b/>
      <sz val="14"/>
      <color theme="1"/>
      <name val="Calibri"/>
      <family val="2"/>
      <scheme val="minor"/>
    </font>
    <font>
      <b/>
      <sz val="12"/>
      <color theme="1"/>
      <name val="Calibri"/>
      <family val="2"/>
      <scheme val="minor"/>
    </font>
    <font>
      <b/>
      <sz val="14"/>
      <name val="Calibri"/>
      <family val="2"/>
      <scheme val="minor"/>
    </font>
  </fonts>
  <fills count="5">
    <fill>
      <patternFill patternType="none"/>
    </fill>
    <fill>
      <patternFill patternType="gray125"/>
    </fill>
    <fill>
      <patternFill patternType="solid">
        <fgColor theme="6" tint="0.59999389629810485"/>
        <bgColor indexed="64"/>
      </patternFill>
    </fill>
    <fill>
      <patternFill patternType="solid">
        <fgColor theme="6" tint="0.79998168889431442"/>
        <bgColor indexed="64"/>
      </patternFill>
    </fill>
    <fill>
      <patternFill patternType="solid">
        <fgColor theme="6"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40">
    <xf numFmtId="0" fontId="0" fillId="0" borderId="0" xfId="0"/>
    <xf numFmtId="0" fontId="1" fillId="0" borderId="1" xfId="0" applyFont="1" applyBorder="1" applyAlignment="1">
      <alignment horizontal="center" vertical="top"/>
    </xf>
    <xf numFmtId="164" fontId="0" fillId="0" borderId="0" xfId="1" applyNumberFormat="1" applyFont="1"/>
    <xf numFmtId="164" fontId="1" fillId="0" borderId="1" xfId="0" applyNumberFormat="1" applyFont="1" applyBorder="1" applyAlignment="1">
      <alignment horizontal="center" vertical="top"/>
    </xf>
    <xf numFmtId="164" fontId="0" fillId="0" borderId="0" xfId="0" applyNumberFormat="1"/>
    <xf numFmtId="164" fontId="1" fillId="0" borderId="1" xfId="1" applyNumberFormat="1" applyFont="1" applyBorder="1" applyAlignment="1">
      <alignment horizontal="center" vertical="top"/>
    </xf>
    <xf numFmtId="9" fontId="0" fillId="0" borderId="0" xfId="2" applyFont="1"/>
    <xf numFmtId="0" fontId="0" fillId="0" borderId="0" xfId="0" pivotButton="1"/>
    <xf numFmtId="0" fontId="0" fillId="0" borderId="0" xfId="0" applyAlignment="1">
      <alignment horizontal="left"/>
    </xf>
    <xf numFmtId="14" fontId="1" fillId="0" borderId="1" xfId="0" applyNumberFormat="1" applyFont="1" applyBorder="1" applyAlignment="1">
      <alignment horizontal="center" vertical="top"/>
    </xf>
    <xf numFmtId="14" fontId="0" fillId="0" borderId="0" xfId="0" applyNumberFormat="1"/>
    <xf numFmtId="49" fontId="0" fillId="0" borderId="0" xfId="0" applyNumberFormat="1"/>
    <xf numFmtId="44" fontId="0" fillId="0" borderId="0" xfId="0" applyNumberFormat="1"/>
    <xf numFmtId="165" fontId="0" fillId="0" borderId="0" xfId="0" applyNumberFormat="1"/>
    <xf numFmtId="0" fontId="6" fillId="0" borderId="0" xfId="0" applyFont="1" applyAlignment="1">
      <alignment vertical="center"/>
    </xf>
    <xf numFmtId="0" fontId="0" fillId="0" borderId="0" xfId="0" applyAlignment="1">
      <alignment vertical="center"/>
    </xf>
    <xf numFmtId="166" fontId="7" fillId="0" borderId="0" xfId="0" applyNumberFormat="1" applyFont="1" applyAlignment="1">
      <alignment vertical="center"/>
    </xf>
    <xf numFmtId="0" fontId="7" fillId="0" borderId="0" xfId="0" applyFont="1" applyAlignment="1">
      <alignment vertical="center"/>
    </xf>
    <xf numFmtId="9" fontId="7" fillId="0" borderId="0" xfId="2" applyFont="1" applyFill="1" applyBorder="1" applyAlignment="1">
      <alignment vertical="center"/>
    </xf>
    <xf numFmtId="166" fontId="0" fillId="0" borderId="0" xfId="1" applyNumberFormat="1" applyFont="1"/>
    <xf numFmtId="166" fontId="0" fillId="0" borderId="0" xfId="0" applyNumberFormat="1"/>
    <xf numFmtId="0" fontId="4" fillId="0" borderId="0" xfId="0" applyFont="1" applyAlignment="1">
      <alignment vertical="top" wrapText="1"/>
    </xf>
    <xf numFmtId="0" fontId="10" fillId="4" borderId="1" xfId="0" applyFont="1" applyFill="1" applyBorder="1" applyAlignment="1">
      <alignment horizontal="center" vertical="center"/>
    </xf>
    <xf numFmtId="9"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4"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center"/>
    </xf>
    <xf numFmtId="0" fontId="10" fillId="3" borderId="1" xfId="0" applyFont="1" applyFill="1" applyBorder="1" applyAlignment="1">
      <alignment horizontal="center" vertical="center"/>
    </xf>
    <xf numFmtId="166" fontId="10" fillId="2" borderId="1" xfId="0" applyNumberFormat="1" applyFont="1" applyFill="1" applyBorder="1" applyAlignment="1">
      <alignment horizontal="center" vertical="center"/>
    </xf>
    <xf numFmtId="166" fontId="3" fillId="2" borderId="1" xfId="0" applyNumberFormat="1" applyFont="1" applyFill="1" applyBorder="1" applyAlignment="1">
      <alignment horizontal="center" vertical="center"/>
    </xf>
    <xf numFmtId="166" fontId="3" fillId="3"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8" fillId="0" borderId="0" xfId="0" applyFont="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xf>
    <xf numFmtId="166" fontId="9" fillId="2" borderId="1" xfId="0" applyNumberFormat="1" applyFont="1" applyFill="1" applyBorder="1" applyAlignment="1">
      <alignment horizontal="center" vertical="center"/>
    </xf>
    <xf numFmtId="0" fontId="11" fillId="3" borderId="1" xfId="0" applyFont="1" applyFill="1" applyBorder="1" applyAlignment="1">
      <alignment horizontal="center" vertical="center"/>
    </xf>
    <xf numFmtId="0" fontId="9" fillId="4" borderId="1" xfId="0" applyFont="1" applyFill="1" applyBorder="1" applyAlignment="1">
      <alignment horizontal="center" vertical="center"/>
    </xf>
  </cellXfs>
  <cellStyles count="3">
    <cellStyle name="Currency" xfId="1" builtinId="4"/>
    <cellStyle name="Normal" xfId="0" builtinId="0"/>
    <cellStyle name="Percent" xfId="2" builtinId="5"/>
  </cellStyles>
  <dxfs count="9">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9" defaultPivotStyle="PivotStyleLight16"/>
  <colors>
    <mruColors>
      <color rgb="FFFCE8D5"/>
      <color rgb="FFDFF5E3"/>
      <color rgb="FFDCEBFF"/>
      <color rgb="FFDCEEFF"/>
      <color rgb="FFDDF5F3"/>
      <color rgb="FFEEE3FF"/>
      <color rgb="FFFFE7CC"/>
      <color rgb="FFDFF5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1_Ecommerce_Sales_Dataset.xlsx]Pivot_tables!PivotTable3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Pivot_tables!$B$12</c:f>
              <c:strCache>
                <c:ptCount val="1"/>
                <c:pt idx="0">
                  <c:v>Total</c:v>
                </c:pt>
              </c:strCache>
            </c:strRef>
          </c:tx>
          <c:spPr>
            <a:ln w="28575" cap="rnd">
              <a:solidFill>
                <a:schemeClr val="accent1"/>
              </a:solidFill>
              <a:round/>
            </a:ln>
            <a:effectLst/>
          </c:spPr>
          <c:marker>
            <c:symbol val="none"/>
          </c:marker>
          <c:cat>
            <c:strRef>
              <c:f>Pivot_tables!$A$13:$A$25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Pivot_tables!$B$13:$B$25</c:f>
              <c:numCache>
                <c:formatCode>_("$"* #,##0_);_("$"* \(#,##0\);_("$"* "-"??_);_(@_)</c:formatCode>
                <c:ptCount val="12"/>
                <c:pt idx="0">
                  <c:v>263914.72000000003</c:v>
                </c:pt>
                <c:pt idx="1">
                  <c:v>244175.76</c:v>
                </c:pt>
                <c:pt idx="2">
                  <c:v>272204.48999999987</c:v>
                </c:pt>
                <c:pt idx="3">
                  <c:v>307549.58999999985</c:v>
                </c:pt>
                <c:pt idx="4">
                  <c:v>229997.17</c:v>
                </c:pt>
                <c:pt idx="5">
                  <c:v>335516.89000000007</c:v>
                </c:pt>
                <c:pt idx="6">
                  <c:v>304087.67999999999</c:v>
                </c:pt>
                <c:pt idx="7">
                  <c:v>270511.84999999992</c:v>
                </c:pt>
                <c:pt idx="8">
                  <c:v>260970.29999999996</c:v>
                </c:pt>
                <c:pt idx="9">
                  <c:v>340837.19999999995</c:v>
                </c:pt>
                <c:pt idx="10">
                  <c:v>207266.2</c:v>
                </c:pt>
                <c:pt idx="11">
                  <c:v>300980.82000000007</c:v>
                </c:pt>
              </c:numCache>
            </c:numRef>
          </c:val>
          <c:smooth val="0"/>
          <c:extLst>
            <c:ext xmlns:c16="http://schemas.microsoft.com/office/drawing/2014/chart" uri="{C3380CC4-5D6E-409C-BE32-E72D297353CC}">
              <c16:uniqueId val="{00000000-72DA-4183-ADD4-841F5134F6C3}"/>
            </c:ext>
          </c:extLst>
        </c:ser>
        <c:dLbls>
          <c:showLegendKey val="0"/>
          <c:showVal val="0"/>
          <c:showCatName val="0"/>
          <c:showSerName val="0"/>
          <c:showPercent val="0"/>
          <c:showBubbleSize val="0"/>
        </c:dLbls>
        <c:smooth val="0"/>
        <c:axId val="1817236111"/>
        <c:axId val="1817230831"/>
      </c:lineChart>
      <c:catAx>
        <c:axId val="181723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230831"/>
        <c:crosses val="autoZero"/>
        <c:auto val="1"/>
        <c:lblAlgn val="ctr"/>
        <c:lblOffset val="100"/>
        <c:noMultiLvlLbl val="0"/>
      </c:catAx>
      <c:valAx>
        <c:axId val="18172308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23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1_Ecommerce_Sales_Dataset.xlsx]Pivot_tables!PivotTable1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c:f>
              <c:strCache>
                <c:ptCount val="1"/>
                <c:pt idx="0">
                  <c:v>Total</c:v>
                </c:pt>
              </c:strCache>
            </c:strRef>
          </c:tx>
          <c:spPr>
            <a:solidFill>
              <a:schemeClr val="accent1"/>
            </a:solidFill>
            <a:ln>
              <a:noFill/>
            </a:ln>
            <a:effectLst/>
          </c:spPr>
          <c:invertIfNegative val="0"/>
          <c:cat>
            <c:strRef>
              <c:f>Pivot_tables!$A$4:$A$7</c:f>
              <c:strCache>
                <c:ptCount val="3"/>
                <c:pt idx="0">
                  <c:v>Office Supplies</c:v>
                </c:pt>
                <c:pt idx="1">
                  <c:v>Technology</c:v>
                </c:pt>
                <c:pt idx="2">
                  <c:v>Furniture</c:v>
                </c:pt>
              </c:strCache>
            </c:strRef>
          </c:cat>
          <c:val>
            <c:numRef>
              <c:f>Pivot_tables!$B$4:$B$7</c:f>
              <c:numCache>
                <c:formatCode>_("$"* #,##0_);_("$"* \(#,##0\);_("$"* "-"??_);_(@_)</c:formatCode>
                <c:ptCount val="3"/>
                <c:pt idx="0">
                  <c:v>1166187.0499999996</c:v>
                </c:pt>
                <c:pt idx="1">
                  <c:v>1137321.2499999998</c:v>
                </c:pt>
                <c:pt idx="2">
                  <c:v>1034504.3699999996</c:v>
                </c:pt>
              </c:numCache>
            </c:numRef>
          </c:val>
          <c:extLst>
            <c:ext xmlns:c16="http://schemas.microsoft.com/office/drawing/2014/chart" uri="{C3380CC4-5D6E-409C-BE32-E72D297353CC}">
              <c16:uniqueId val="{00000000-B1BD-4246-BAEB-8F7153A56A2A}"/>
            </c:ext>
          </c:extLst>
        </c:ser>
        <c:dLbls>
          <c:showLegendKey val="0"/>
          <c:showVal val="0"/>
          <c:showCatName val="0"/>
          <c:showSerName val="0"/>
          <c:showPercent val="0"/>
          <c:showBubbleSize val="0"/>
        </c:dLbls>
        <c:gapWidth val="182"/>
        <c:axId val="1817251471"/>
        <c:axId val="1817251951"/>
      </c:barChart>
      <c:catAx>
        <c:axId val="18172514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251951"/>
        <c:crosses val="autoZero"/>
        <c:auto val="1"/>
        <c:lblAlgn val="ctr"/>
        <c:lblOffset val="100"/>
        <c:noMultiLvlLbl val="0"/>
      </c:catAx>
      <c:valAx>
        <c:axId val="1817251951"/>
        <c:scaling>
          <c:orientation val="minMax"/>
        </c:scaling>
        <c:delete val="0"/>
        <c:axPos val="b"/>
        <c:numFmt formatCode="&quot;$&quot;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25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1_Ecommerce_Sales_Dataset.xlsx]Pivot_tables!PivotTable4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Profit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Pivot_tables!$B$30</c:f>
              <c:strCache>
                <c:ptCount val="1"/>
                <c:pt idx="0">
                  <c:v>Total</c:v>
                </c:pt>
              </c:strCache>
            </c:strRef>
          </c:tx>
          <c:spPr>
            <a:solidFill>
              <a:schemeClr val="accent1"/>
            </a:solidFill>
            <a:ln>
              <a:noFill/>
            </a:ln>
            <a:effectLst/>
          </c:spPr>
          <c:invertIfNegative val="0"/>
          <c:cat>
            <c:strRef>
              <c:f>Pivot_tables!$A$31:$A$35</c:f>
              <c:strCache>
                <c:ptCount val="4"/>
                <c:pt idx="0">
                  <c:v>West</c:v>
                </c:pt>
                <c:pt idx="1">
                  <c:v>North</c:v>
                </c:pt>
                <c:pt idx="2">
                  <c:v>East</c:v>
                </c:pt>
                <c:pt idx="3">
                  <c:v>South</c:v>
                </c:pt>
              </c:strCache>
            </c:strRef>
          </c:cat>
          <c:val>
            <c:numRef>
              <c:f>Pivot_tables!$B$31:$B$35</c:f>
              <c:numCache>
                <c:formatCode>_("$"* #,##0_);_("$"* \(#,##0\);_("$"* "-"??_);_(@_)</c:formatCode>
                <c:ptCount val="4"/>
                <c:pt idx="0">
                  <c:v>293207.87</c:v>
                </c:pt>
                <c:pt idx="1">
                  <c:v>287555.16999999981</c:v>
                </c:pt>
                <c:pt idx="2">
                  <c:v>224131.96000000002</c:v>
                </c:pt>
                <c:pt idx="3">
                  <c:v>222750.45999999996</c:v>
                </c:pt>
              </c:numCache>
            </c:numRef>
          </c:val>
          <c:extLst>
            <c:ext xmlns:c16="http://schemas.microsoft.com/office/drawing/2014/chart" uri="{C3380CC4-5D6E-409C-BE32-E72D297353CC}">
              <c16:uniqueId val="{00000000-B45B-4129-BF60-EFE309452EF0}"/>
            </c:ext>
          </c:extLst>
        </c:ser>
        <c:dLbls>
          <c:showLegendKey val="0"/>
          <c:showVal val="0"/>
          <c:showCatName val="0"/>
          <c:showSerName val="0"/>
          <c:showPercent val="0"/>
          <c:showBubbleSize val="0"/>
        </c:dLbls>
        <c:gapWidth val="219"/>
        <c:overlap val="-27"/>
        <c:axId val="1910167791"/>
        <c:axId val="1910173071"/>
      </c:barChart>
      <c:catAx>
        <c:axId val="191016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173071"/>
        <c:crosses val="autoZero"/>
        <c:auto val="1"/>
        <c:lblAlgn val="ctr"/>
        <c:lblOffset val="100"/>
        <c:noMultiLvlLbl val="0"/>
      </c:catAx>
      <c:valAx>
        <c:axId val="1910173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16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1_Ecommerce_Sales_Dataset.xlsx]Pivot_tables!PivotTable5</c:name>
    <c:fmtId val="1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Top</a:t>
            </a:r>
            <a:r>
              <a:rPr lang="en-US" baseline="0"/>
              <a:t> Performing Products</a:t>
            </a:r>
          </a:p>
        </c:rich>
      </c:tx>
      <c:layout>
        <c:manualLayout>
          <c:xMode val="edge"/>
          <c:yMode val="edge"/>
          <c:x val="0.34222708859495538"/>
          <c:y val="8.305105953442504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Pivot_tables!$B$40</c:f>
              <c:strCache>
                <c:ptCount val="1"/>
                <c:pt idx="0">
                  <c:v>Total</c:v>
                </c:pt>
              </c:strCache>
            </c:strRef>
          </c:tx>
          <c:spPr>
            <a:solidFill>
              <a:schemeClr val="accent1"/>
            </a:solidFill>
            <a:ln>
              <a:noFill/>
            </a:ln>
            <a:effectLst/>
          </c:spPr>
          <c:invertIfNegative val="0"/>
          <c:cat>
            <c:strRef>
              <c:f>Pivot_tables!$A$41:$A$46</c:f>
              <c:strCache>
                <c:ptCount val="5"/>
                <c:pt idx="0">
                  <c:v>Notebook</c:v>
                </c:pt>
                <c:pt idx="1">
                  <c:v>Stapler</c:v>
                </c:pt>
                <c:pt idx="2">
                  <c:v>Cabinet</c:v>
                </c:pt>
                <c:pt idx="3">
                  <c:v>Paper Pack</c:v>
                </c:pt>
                <c:pt idx="4">
                  <c:v>Pen Set</c:v>
                </c:pt>
              </c:strCache>
            </c:strRef>
          </c:cat>
          <c:val>
            <c:numRef>
              <c:f>Pivot_tables!$B$41:$B$46</c:f>
              <c:numCache>
                <c:formatCode>_("$"* #,##0_);_("$"* \(#,##0\);_("$"* "-"??_);_(@_)</c:formatCode>
                <c:ptCount val="5"/>
                <c:pt idx="0">
                  <c:v>230381.75999999995</c:v>
                </c:pt>
                <c:pt idx="1">
                  <c:v>230903.60000000006</c:v>
                </c:pt>
                <c:pt idx="2">
                  <c:v>249914.97999999998</c:v>
                </c:pt>
                <c:pt idx="3">
                  <c:v>249984.65999999997</c:v>
                </c:pt>
                <c:pt idx="4">
                  <c:v>258206.90999999997</c:v>
                </c:pt>
              </c:numCache>
            </c:numRef>
          </c:val>
          <c:extLst>
            <c:ext xmlns:c16="http://schemas.microsoft.com/office/drawing/2014/chart" uri="{C3380CC4-5D6E-409C-BE32-E72D297353CC}">
              <c16:uniqueId val="{00000000-8CC7-4F14-8A45-15D9A0A1F100}"/>
            </c:ext>
          </c:extLst>
        </c:ser>
        <c:dLbls>
          <c:showLegendKey val="0"/>
          <c:showVal val="0"/>
          <c:showCatName val="0"/>
          <c:showSerName val="0"/>
          <c:showPercent val="0"/>
          <c:showBubbleSize val="0"/>
        </c:dLbls>
        <c:gapWidth val="182"/>
        <c:axId val="1910202831"/>
        <c:axId val="1910195631"/>
      </c:barChart>
      <c:catAx>
        <c:axId val="1910202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195631"/>
        <c:crosses val="autoZero"/>
        <c:auto val="1"/>
        <c:lblAlgn val="ctr"/>
        <c:lblOffset val="100"/>
        <c:noMultiLvlLbl val="0"/>
      </c:catAx>
      <c:valAx>
        <c:axId val="1910195631"/>
        <c:scaling>
          <c:orientation val="minMax"/>
        </c:scaling>
        <c:delete val="0"/>
        <c:axPos val="b"/>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20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 1_Ecommerce_Sales_Dataset.xlsx]Pivot_tables!PivotTable1</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t>Sales By Product Category</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c:f>
              <c:strCache>
                <c:ptCount val="1"/>
                <c:pt idx="0">
                  <c:v>Total</c:v>
                </c:pt>
              </c:strCache>
            </c:strRef>
          </c:tx>
          <c:spPr>
            <a:solidFill>
              <a:schemeClr val="accent3"/>
            </a:solidFill>
            <a:ln>
              <a:noFill/>
            </a:ln>
            <a:effectLst/>
          </c:spPr>
          <c:invertIfNegative val="0"/>
          <c:cat>
            <c:strRef>
              <c:f>Pivot_tables!$A$4:$A$7</c:f>
              <c:strCache>
                <c:ptCount val="3"/>
                <c:pt idx="0">
                  <c:v>Office Supplies</c:v>
                </c:pt>
                <c:pt idx="1">
                  <c:v>Technology</c:v>
                </c:pt>
                <c:pt idx="2">
                  <c:v>Furniture</c:v>
                </c:pt>
              </c:strCache>
            </c:strRef>
          </c:cat>
          <c:val>
            <c:numRef>
              <c:f>Pivot_tables!$B$4:$B$7</c:f>
              <c:numCache>
                <c:formatCode>_("$"* #,##0_);_("$"* \(#,##0\);_("$"* "-"??_);_(@_)</c:formatCode>
                <c:ptCount val="3"/>
                <c:pt idx="0">
                  <c:v>1166187.0499999996</c:v>
                </c:pt>
                <c:pt idx="1">
                  <c:v>1137321.2499999998</c:v>
                </c:pt>
                <c:pt idx="2">
                  <c:v>1034504.3699999996</c:v>
                </c:pt>
              </c:numCache>
            </c:numRef>
          </c:val>
          <c:extLst>
            <c:ext xmlns:c16="http://schemas.microsoft.com/office/drawing/2014/chart" uri="{C3380CC4-5D6E-409C-BE32-E72D297353CC}">
              <c16:uniqueId val="{00000000-19A3-4F3F-9C3D-1025F4174A1A}"/>
            </c:ext>
          </c:extLst>
        </c:ser>
        <c:dLbls>
          <c:showLegendKey val="0"/>
          <c:showVal val="0"/>
          <c:showCatName val="0"/>
          <c:showSerName val="0"/>
          <c:showPercent val="0"/>
          <c:showBubbleSize val="0"/>
        </c:dLbls>
        <c:gapWidth val="100"/>
        <c:axId val="1817251471"/>
        <c:axId val="1817251951"/>
      </c:barChart>
      <c:catAx>
        <c:axId val="181725147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251951"/>
        <c:crosses val="autoZero"/>
        <c:auto val="1"/>
        <c:lblAlgn val="ctr"/>
        <c:lblOffset val="100"/>
        <c:noMultiLvlLbl val="0"/>
      </c:catAx>
      <c:valAx>
        <c:axId val="1817251951"/>
        <c:scaling>
          <c:orientation val="minMax"/>
          <c:max val="1250000"/>
          <c:min val="1000000"/>
        </c:scaling>
        <c:delete val="0"/>
        <c:axPos val="t"/>
        <c:numFmt formatCode="&quot;$&quot;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251471"/>
        <c:crosses val="autoZero"/>
        <c:crossBetween val="between"/>
        <c:minorUnit val="5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 1_Ecommerce_Sales_Dataset.xlsx]Pivot_tables!PivotTable3</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t>Monthly Revenue Trend</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circle"/>
          <c:size val="5"/>
          <c:spPr>
            <a:solidFill>
              <a:schemeClr val="accent3"/>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Pivot_tables!$B$12</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lumMod val="50000"/>
                  </a:schemeClr>
                </a:solidFill>
              </a:ln>
              <a:effectLst/>
            </c:spPr>
          </c:marker>
          <c:cat>
            <c:strRef>
              <c:f>Pivot_tables!$A$13:$A$25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Pivot_tables!$B$13:$B$25</c:f>
              <c:numCache>
                <c:formatCode>_("$"* #,##0_);_("$"* \(#,##0\);_("$"* "-"??_);_(@_)</c:formatCode>
                <c:ptCount val="12"/>
                <c:pt idx="0">
                  <c:v>263914.72000000003</c:v>
                </c:pt>
                <c:pt idx="1">
                  <c:v>244175.76</c:v>
                </c:pt>
                <c:pt idx="2">
                  <c:v>272204.48999999987</c:v>
                </c:pt>
                <c:pt idx="3">
                  <c:v>307549.58999999985</c:v>
                </c:pt>
                <c:pt idx="4">
                  <c:v>229997.17</c:v>
                </c:pt>
                <c:pt idx="5">
                  <c:v>335516.89000000007</c:v>
                </c:pt>
                <c:pt idx="6">
                  <c:v>304087.67999999999</c:v>
                </c:pt>
                <c:pt idx="7">
                  <c:v>270511.84999999992</c:v>
                </c:pt>
                <c:pt idx="8">
                  <c:v>260970.29999999996</c:v>
                </c:pt>
                <c:pt idx="9">
                  <c:v>340837.19999999995</c:v>
                </c:pt>
                <c:pt idx="10">
                  <c:v>207266.2</c:v>
                </c:pt>
                <c:pt idx="11">
                  <c:v>300980.82000000007</c:v>
                </c:pt>
              </c:numCache>
            </c:numRef>
          </c:val>
          <c:smooth val="0"/>
          <c:extLst>
            <c:ext xmlns:c16="http://schemas.microsoft.com/office/drawing/2014/chart" uri="{C3380CC4-5D6E-409C-BE32-E72D297353CC}">
              <c16:uniqueId val="{00000000-2412-4667-861D-D7DC42689D4A}"/>
            </c:ext>
          </c:extLst>
        </c:ser>
        <c:dLbls>
          <c:showLegendKey val="0"/>
          <c:showVal val="0"/>
          <c:showCatName val="0"/>
          <c:showSerName val="0"/>
          <c:showPercent val="0"/>
          <c:showBubbleSize val="0"/>
        </c:dLbls>
        <c:marker val="1"/>
        <c:smooth val="0"/>
        <c:axId val="1817236111"/>
        <c:axId val="1817230831"/>
      </c:lineChart>
      <c:catAx>
        <c:axId val="181723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230831"/>
        <c:crosses val="autoZero"/>
        <c:auto val="1"/>
        <c:lblAlgn val="ctr"/>
        <c:lblOffset val="100"/>
        <c:noMultiLvlLbl val="0"/>
      </c:catAx>
      <c:valAx>
        <c:axId val="18172308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23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 1_Ecommerce_Sales_Dataset.xlsx]Pivot_tables!PivotTable4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latin typeface="+mn-lt"/>
              </a:rPr>
              <a:t>Profit By Region</a:t>
            </a:r>
            <a:endParaRPr lang="en-US" sz="1600" b="1">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Pivot_tables!$B$30</c:f>
              <c:strCache>
                <c:ptCount val="1"/>
                <c:pt idx="0">
                  <c:v>Total</c:v>
                </c:pt>
              </c:strCache>
            </c:strRef>
          </c:tx>
          <c:spPr>
            <a:solidFill>
              <a:schemeClr val="accent3"/>
            </a:solidFill>
            <a:ln>
              <a:noFill/>
            </a:ln>
            <a:effectLst/>
          </c:spPr>
          <c:invertIfNegative val="0"/>
          <c:cat>
            <c:strRef>
              <c:f>Pivot_tables!$A$31:$A$35</c:f>
              <c:strCache>
                <c:ptCount val="4"/>
                <c:pt idx="0">
                  <c:v>West</c:v>
                </c:pt>
                <c:pt idx="1">
                  <c:v>North</c:v>
                </c:pt>
                <c:pt idx="2">
                  <c:v>East</c:v>
                </c:pt>
                <c:pt idx="3">
                  <c:v>South</c:v>
                </c:pt>
              </c:strCache>
            </c:strRef>
          </c:cat>
          <c:val>
            <c:numRef>
              <c:f>Pivot_tables!$B$31:$B$35</c:f>
              <c:numCache>
                <c:formatCode>_("$"* #,##0_);_("$"* \(#,##0\);_("$"* "-"??_);_(@_)</c:formatCode>
                <c:ptCount val="4"/>
                <c:pt idx="0">
                  <c:v>293207.87</c:v>
                </c:pt>
                <c:pt idx="1">
                  <c:v>287555.16999999981</c:v>
                </c:pt>
                <c:pt idx="2">
                  <c:v>224131.96000000002</c:v>
                </c:pt>
                <c:pt idx="3">
                  <c:v>222750.45999999996</c:v>
                </c:pt>
              </c:numCache>
            </c:numRef>
          </c:val>
          <c:extLst>
            <c:ext xmlns:c16="http://schemas.microsoft.com/office/drawing/2014/chart" uri="{C3380CC4-5D6E-409C-BE32-E72D297353CC}">
              <c16:uniqueId val="{00000000-85E4-46B8-AE05-A672D627FB09}"/>
            </c:ext>
          </c:extLst>
        </c:ser>
        <c:dLbls>
          <c:showLegendKey val="0"/>
          <c:showVal val="0"/>
          <c:showCatName val="0"/>
          <c:showSerName val="0"/>
          <c:showPercent val="0"/>
          <c:showBubbleSize val="0"/>
        </c:dLbls>
        <c:gapWidth val="219"/>
        <c:overlap val="-27"/>
        <c:axId val="1910167791"/>
        <c:axId val="1910173071"/>
      </c:barChart>
      <c:catAx>
        <c:axId val="191016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173071"/>
        <c:crosses val="autoZero"/>
        <c:auto val="1"/>
        <c:lblAlgn val="ctr"/>
        <c:lblOffset val="100"/>
        <c:noMultiLvlLbl val="0"/>
      </c:catAx>
      <c:valAx>
        <c:axId val="1910173071"/>
        <c:scaling>
          <c:orientation val="minMax"/>
        </c:scaling>
        <c:delete val="0"/>
        <c:axPos val="l"/>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16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 1_Ecommerce_Sales_Dataset.xlsx]Pivot_tables!PivotTable5</c:name>
    <c:fmtId val="19"/>
  </c:pivotSource>
  <c:chart>
    <c:title>
      <c:tx>
        <c:rich>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Products By Revenue</a:t>
            </a:r>
          </a:p>
        </c:rich>
      </c:tx>
      <c:layout>
        <c:manualLayout>
          <c:xMode val="edge"/>
          <c:yMode val="edge"/>
          <c:x val="0.34222708859495538"/>
          <c:y val="8.3051059534425042E-2"/>
        </c:manualLayout>
      </c:layout>
      <c:overlay val="0"/>
      <c:spPr>
        <a:noFill/>
        <a:ln>
          <a:noFill/>
        </a:ln>
        <a:effectLst/>
      </c:spPr>
      <c:txPr>
        <a:bodyPr rot="0" spcFirstLastPara="1" vertOverflow="ellipsis" vert="horz" wrap="square" anchor="ctr" anchorCtr="1"/>
        <a:lstStyle/>
        <a:p>
          <a:pPr algn="ct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Pivot_tables!$B$40</c:f>
              <c:strCache>
                <c:ptCount val="1"/>
                <c:pt idx="0">
                  <c:v>Total</c:v>
                </c:pt>
              </c:strCache>
            </c:strRef>
          </c:tx>
          <c:spPr>
            <a:solidFill>
              <a:schemeClr val="accent3"/>
            </a:solidFill>
            <a:ln>
              <a:noFill/>
            </a:ln>
            <a:effectLst/>
          </c:spPr>
          <c:invertIfNegative val="0"/>
          <c:cat>
            <c:strRef>
              <c:f>Pivot_tables!$A$41:$A$46</c:f>
              <c:strCache>
                <c:ptCount val="5"/>
                <c:pt idx="0">
                  <c:v>Notebook</c:v>
                </c:pt>
                <c:pt idx="1">
                  <c:v>Stapler</c:v>
                </c:pt>
                <c:pt idx="2">
                  <c:v>Cabinet</c:v>
                </c:pt>
                <c:pt idx="3">
                  <c:v>Paper Pack</c:v>
                </c:pt>
                <c:pt idx="4">
                  <c:v>Pen Set</c:v>
                </c:pt>
              </c:strCache>
            </c:strRef>
          </c:cat>
          <c:val>
            <c:numRef>
              <c:f>Pivot_tables!$B$41:$B$46</c:f>
              <c:numCache>
                <c:formatCode>_("$"* #,##0_);_("$"* \(#,##0\);_("$"* "-"??_);_(@_)</c:formatCode>
                <c:ptCount val="5"/>
                <c:pt idx="0">
                  <c:v>230381.75999999995</c:v>
                </c:pt>
                <c:pt idx="1">
                  <c:v>230903.60000000006</c:v>
                </c:pt>
                <c:pt idx="2">
                  <c:v>249914.97999999998</c:v>
                </c:pt>
                <c:pt idx="3">
                  <c:v>249984.65999999997</c:v>
                </c:pt>
                <c:pt idx="4">
                  <c:v>258206.90999999997</c:v>
                </c:pt>
              </c:numCache>
            </c:numRef>
          </c:val>
          <c:extLst>
            <c:ext xmlns:c16="http://schemas.microsoft.com/office/drawing/2014/chart" uri="{C3380CC4-5D6E-409C-BE32-E72D297353CC}">
              <c16:uniqueId val="{00000000-2F76-432D-B12B-DCA45CD160E6}"/>
            </c:ext>
          </c:extLst>
        </c:ser>
        <c:dLbls>
          <c:showLegendKey val="0"/>
          <c:showVal val="0"/>
          <c:showCatName val="0"/>
          <c:showSerName val="0"/>
          <c:showPercent val="0"/>
          <c:showBubbleSize val="0"/>
        </c:dLbls>
        <c:gapWidth val="182"/>
        <c:axId val="1910202831"/>
        <c:axId val="1910195631"/>
      </c:barChart>
      <c:catAx>
        <c:axId val="1910202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10195631"/>
        <c:crosses val="autoZero"/>
        <c:auto val="1"/>
        <c:lblAlgn val="ctr"/>
        <c:lblOffset val="100"/>
        <c:noMultiLvlLbl val="0"/>
      </c:catAx>
      <c:valAx>
        <c:axId val="1910195631"/>
        <c:scaling>
          <c:orientation val="minMax"/>
          <c:max val="260000"/>
          <c:min val="220000"/>
        </c:scaling>
        <c:delete val="0"/>
        <c:axPos val="b"/>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20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284423</xdr:colOff>
      <xdr:row>12</xdr:row>
      <xdr:rowOff>53778</xdr:rowOff>
    </xdr:from>
    <xdr:to>
      <xdr:col>9</xdr:col>
      <xdr:colOff>394249</xdr:colOff>
      <xdr:row>25</xdr:row>
      <xdr:rowOff>142678</xdr:rowOff>
    </xdr:to>
    <xdr:graphicFrame macro="">
      <xdr:nvGraphicFramePr>
        <xdr:cNvPr id="2" name="Chart 1">
          <a:extLst>
            <a:ext uri="{FF2B5EF4-FFF2-40B4-BE49-F238E27FC236}">
              <a16:creationId xmlns:a16="http://schemas.microsoft.com/office/drawing/2014/main" id="{BDED8E3F-18FB-0C78-DD04-4223E8648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266504</xdr:colOff>
      <xdr:row>0</xdr:row>
      <xdr:rowOff>106069</xdr:rowOff>
    </xdr:from>
    <xdr:to>
      <xdr:col>9</xdr:col>
      <xdr:colOff>587963</xdr:colOff>
      <xdr:row>11</xdr:row>
      <xdr:rowOff>101914</xdr:rowOff>
    </xdr:to>
    <xdr:graphicFrame macro="">
      <xdr:nvGraphicFramePr>
        <xdr:cNvPr id="3" name="Chart 2">
          <a:extLst>
            <a:ext uri="{FF2B5EF4-FFF2-40B4-BE49-F238E27FC236}">
              <a16:creationId xmlns:a16="http://schemas.microsoft.com/office/drawing/2014/main" id="{82D1BB4F-95E0-A418-9E13-5C8FAF4EC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546106</xdr:colOff>
      <xdr:row>26</xdr:row>
      <xdr:rowOff>19050</xdr:rowOff>
    </xdr:from>
    <xdr:to>
      <xdr:col>9</xdr:col>
      <xdr:colOff>393700</xdr:colOff>
      <xdr:row>37</xdr:row>
      <xdr:rowOff>120650</xdr:rowOff>
    </xdr:to>
    <xdr:graphicFrame macro="">
      <xdr:nvGraphicFramePr>
        <xdr:cNvPr id="4" name="Chart 3">
          <a:extLst>
            <a:ext uri="{FF2B5EF4-FFF2-40B4-BE49-F238E27FC236}">
              <a16:creationId xmlns:a16="http://schemas.microsoft.com/office/drawing/2014/main" id="{EDD14E25-24A8-318E-D77D-76880F0423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12706</xdr:colOff>
      <xdr:row>39</xdr:row>
      <xdr:rowOff>31750</xdr:rowOff>
    </xdr:from>
    <xdr:to>
      <xdr:col>9</xdr:col>
      <xdr:colOff>419100</xdr:colOff>
      <xdr:row>50</xdr:row>
      <xdr:rowOff>31750</xdr:rowOff>
    </xdr:to>
    <xdr:graphicFrame macro="">
      <xdr:nvGraphicFramePr>
        <xdr:cNvPr id="5" name="Chart 4">
          <a:extLst>
            <a:ext uri="{FF2B5EF4-FFF2-40B4-BE49-F238E27FC236}">
              <a16:creationId xmlns:a16="http://schemas.microsoft.com/office/drawing/2014/main" id="{C4C98476-1380-360F-CF96-120F7DEE8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384342</xdr:colOff>
      <xdr:row>3</xdr:row>
      <xdr:rowOff>153403</xdr:rowOff>
    </xdr:from>
    <xdr:to>
      <xdr:col>6</xdr:col>
      <xdr:colOff>383340</xdr:colOff>
      <xdr:row>17</xdr:row>
      <xdr:rowOff>104107</xdr:rowOff>
    </xdr:to>
    <mc:AlternateContent xmlns:mc="http://schemas.openxmlformats.org/markup-compatibility/2006" xmlns:a14="http://schemas.microsoft.com/office/drawing/2010/main">
      <mc:Choice Requires="a14">
        <xdr:graphicFrame macro="">
          <xdr:nvGraphicFramePr>
            <xdr:cNvPr id="6" name="Customer_Segment">
              <a:extLst>
                <a:ext uri="{FF2B5EF4-FFF2-40B4-BE49-F238E27FC236}">
                  <a16:creationId xmlns:a16="http://schemas.microsoft.com/office/drawing/2014/main" id="{DEEB1E57-79B3-D179-CF03-2AC9ACB57887}"/>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3326077" y="697689"/>
              <a:ext cx="1826243" cy="2490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250658</xdr:colOff>
      <xdr:row>6</xdr:row>
      <xdr:rowOff>78205</xdr:rowOff>
    </xdr:from>
    <xdr:to>
      <xdr:col>7</xdr:col>
      <xdr:colOff>249655</xdr:colOff>
      <xdr:row>20</xdr:row>
      <xdr:rowOff>28909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BAF0B7B-07C8-39F4-2907-29F33C97851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01474" y="1166776"/>
              <a:ext cx="1826242" cy="2490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116974</xdr:colOff>
      <xdr:row>9</xdr:row>
      <xdr:rowOff>3008</xdr:rowOff>
    </xdr:from>
    <xdr:to>
      <xdr:col>8</xdr:col>
      <xdr:colOff>115971</xdr:colOff>
      <xdr:row>22</xdr:row>
      <xdr:rowOff>137528</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9946F487-0450-020D-727C-BF86EC6ED53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276872" y="1635865"/>
              <a:ext cx="1826242" cy="2493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922156</xdr:colOff>
      <xdr:row>35</xdr:row>
      <xdr:rowOff>1715</xdr:rowOff>
    </xdr:from>
    <xdr:to>
      <xdr:col>7</xdr:col>
      <xdr:colOff>631261</xdr:colOff>
      <xdr:row>51</xdr:row>
      <xdr:rowOff>37041</xdr:rowOff>
    </xdr:to>
    <xdr:graphicFrame macro="">
      <xdr:nvGraphicFramePr>
        <xdr:cNvPr id="9" name="Chart 8">
          <a:extLst>
            <a:ext uri="{FF2B5EF4-FFF2-40B4-BE49-F238E27FC236}">
              <a16:creationId xmlns:a16="http://schemas.microsoft.com/office/drawing/2014/main" id="{341A4931-F27F-4D08-932A-4AE5EBE26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24423</xdr:colOff>
      <xdr:row>15</xdr:row>
      <xdr:rowOff>61058</xdr:rowOff>
    </xdr:from>
    <xdr:to>
      <xdr:col>8</xdr:col>
      <xdr:colOff>97</xdr:colOff>
      <xdr:row>32</xdr:row>
      <xdr:rowOff>77982</xdr:rowOff>
    </xdr:to>
    <xdr:graphicFrame macro="">
      <xdr:nvGraphicFramePr>
        <xdr:cNvPr id="10" name="Chart 9">
          <a:extLst>
            <a:ext uri="{FF2B5EF4-FFF2-40B4-BE49-F238E27FC236}">
              <a16:creationId xmlns:a16="http://schemas.microsoft.com/office/drawing/2014/main" id="{936CDDDB-6E2D-44EC-B2D2-2397CB867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36648</xdr:colOff>
      <xdr:row>34</xdr:row>
      <xdr:rowOff>157127</xdr:rowOff>
    </xdr:from>
    <xdr:to>
      <xdr:col>15</xdr:col>
      <xdr:colOff>364526</xdr:colOff>
      <xdr:row>51</xdr:row>
      <xdr:rowOff>42972</xdr:rowOff>
    </xdr:to>
    <xdr:graphicFrame macro="">
      <xdr:nvGraphicFramePr>
        <xdr:cNvPr id="11" name="Chart 10">
          <a:extLst>
            <a:ext uri="{FF2B5EF4-FFF2-40B4-BE49-F238E27FC236}">
              <a16:creationId xmlns:a16="http://schemas.microsoft.com/office/drawing/2014/main" id="{0A596D60-3F11-46A9-95A9-362BDD2EF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29211</xdr:colOff>
      <xdr:row>14</xdr:row>
      <xdr:rowOff>94811</xdr:rowOff>
    </xdr:from>
    <xdr:to>
      <xdr:col>16</xdr:col>
      <xdr:colOff>333123</xdr:colOff>
      <xdr:row>32</xdr:row>
      <xdr:rowOff>77982</xdr:rowOff>
    </xdr:to>
    <xdr:graphicFrame macro="">
      <xdr:nvGraphicFramePr>
        <xdr:cNvPr id="12" name="Chart 11">
          <a:extLst>
            <a:ext uri="{FF2B5EF4-FFF2-40B4-BE49-F238E27FC236}">
              <a16:creationId xmlns:a16="http://schemas.microsoft.com/office/drawing/2014/main" id="{1589E7EB-BC96-437E-94F9-F4C2533F7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312204</xdr:colOff>
      <xdr:row>16</xdr:row>
      <xdr:rowOff>28973</xdr:rowOff>
    </xdr:from>
    <xdr:to>
      <xdr:col>20</xdr:col>
      <xdr:colOff>314782</xdr:colOff>
      <xdr:row>23</xdr:row>
      <xdr:rowOff>146031</xdr:rowOff>
    </xdr:to>
    <mc:AlternateContent xmlns:mc="http://schemas.openxmlformats.org/markup-compatibility/2006" xmlns:a14="http://schemas.microsoft.com/office/drawing/2010/main">
      <mc:Choice Requires="a14">
        <xdr:graphicFrame macro="">
          <xdr:nvGraphicFramePr>
            <xdr:cNvPr id="13" name="Customer_Segment 1">
              <a:extLst>
                <a:ext uri="{FF2B5EF4-FFF2-40B4-BE49-F238E27FC236}">
                  <a16:creationId xmlns:a16="http://schemas.microsoft.com/office/drawing/2014/main" id="{C0914A07-938B-4B05-BC37-A45FD2C2BE24}"/>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10991749" y="3030791"/>
              <a:ext cx="1820988" cy="14303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287550</xdr:colOff>
      <xdr:row>25</xdr:row>
      <xdr:rowOff>4338</xdr:rowOff>
    </xdr:from>
    <xdr:to>
      <xdr:col>20</xdr:col>
      <xdr:colOff>279383</xdr:colOff>
      <xdr:row>33</xdr:row>
      <xdr:rowOff>152827</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5110820C-D73B-4D5F-A009-D6D73EE518D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967095" y="4694679"/>
              <a:ext cx="1810243" cy="16493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283179</xdr:colOff>
      <xdr:row>35</xdr:row>
      <xdr:rowOff>45711</xdr:rowOff>
    </xdr:from>
    <xdr:to>
      <xdr:col>20</xdr:col>
      <xdr:colOff>275013</xdr:colOff>
      <xdr:row>42</xdr:row>
      <xdr:rowOff>113104</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F8374959-3C29-4DD6-8859-32F3F7FF5B0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962724" y="6612188"/>
              <a:ext cx="1810244" cy="1380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0.440398379629" createdVersion="8" refreshedVersion="8" minRefreshableVersion="3" recordCount="1000" xr:uid="{73372774-36BF-4F3F-A15F-A349A06D5417}">
  <cacheSource type="worksheet">
    <worksheetSource ref="A1:P1001" sheet="Sales_Data"/>
  </cacheSource>
  <cacheFields count="16">
    <cacheField name="Order_ID" numFmtId="0">
      <sharedItems/>
    </cacheField>
    <cacheField name="Order_Date" numFmtId="14">
      <sharedItems/>
    </cacheField>
    <cacheField name="Month" numFmtId="49">
      <sharedItems count="12">
        <s v="February"/>
        <s v="October"/>
        <s v="June"/>
        <s v="January"/>
        <s v="December"/>
        <s v="March"/>
        <s v="November"/>
        <s v="May"/>
        <s v="August"/>
        <s v="April"/>
        <s v="July"/>
        <s v="September"/>
      </sharedItems>
    </cacheField>
    <cacheField name="Customer_ID" numFmtId="0">
      <sharedItems/>
    </cacheField>
    <cacheField name="Customer_Name" numFmtId="0">
      <sharedItems/>
    </cacheField>
    <cacheField name="Customer_Segment" numFmtId="0">
      <sharedItems count="3">
        <s v="Home Office"/>
        <s v="Consumer"/>
        <s v="Corporate"/>
      </sharedItems>
    </cacheField>
    <cacheField name="Region" numFmtId="0">
      <sharedItems count="4">
        <s v="North"/>
        <s v="West"/>
        <s v="South"/>
        <s v="East"/>
      </sharedItems>
    </cacheField>
    <cacheField name="Category" numFmtId="0">
      <sharedItems count="3">
        <s v="Office Supplies"/>
        <s v="Technology"/>
        <s v="Furniture"/>
      </sharedItems>
    </cacheField>
    <cacheField name="Product_Name" numFmtId="0">
      <sharedItems count="16">
        <s v="Notebook"/>
        <s v="Laptop"/>
        <s v="Paper Pack"/>
        <s v="Mouse"/>
        <s v="Printer"/>
        <s v="Marker Set"/>
        <s v="Office Chair"/>
        <s v="Stapler"/>
        <s v="Bookshelf"/>
        <s v="Tablet"/>
        <s v="Pen Set"/>
        <s v="Keyboard"/>
        <s v="Desk"/>
        <s v="Cabinet"/>
        <s v="Conference Table"/>
        <s v="Monitor"/>
      </sharedItems>
    </cacheField>
    <cacheField name="Quantity" numFmtId="0">
      <sharedItems containsSemiMixedTypes="0" containsString="0" containsNumber="1" containsInteger="1" minValue="1" maxValue="10"/>
    </cacheField>
    <cacheField name="Unit_Price" numFmtId="164">
      <sharedItems containsSemiMixedTypes="0" containsString="0" containsNumber="1" minValue="21.65" maxValue="1198.1500000000001"/>
    </cacheField>
    <cacheField name="Sales" numFmtId="164">
      <sharedItems containsSemiMixedTypes="0" containsString="0" containsNumber="1" minValue="29.51" maxValue="11978.2"/>
    </cacheField>
    <cacheField name="Discount" numFmtId="0">
      <sharedItems containsSemiMixedTypes="0" containsString="0" containsNumber="1" minValue="0" maxValue="0.3"/>
    </cacheField>
    <cacheField name="Profit" numFmtId="164">
      <sharedItems containsSemiMixedTypes="0" containsString="0" containsNumber="1" minValue="5.93" maxValue="5350.5"/>
    </cacheField>
    <cacheField name="Payment_Method" numFmtId="0">
      <sharedItems/>
    </cacheField>
    <cacheField name="Shipping_Days" numFmtId="0">
      <sharedItems containsSemiMixedTypes="0" containsString="0" containsNumber="1" containsInteger="1" minValue="1" maxValue="10"/>
    </cacheField>
  </cacheFields>
  <extLst>
    <ext xmlns:x14="http://schemas.microsoft.com/office/spreadsheetml/2009/9/main" uri="{725AE2AE-9491-48be-B2B4-4EB974FC3084}">
      <x14:pivotCacheDefinition pivotCacheId="20173312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1"/>
    <s v="2025-02-22"/>
    <x v="0"/>
    <s v="CUST-273"/>
    <s v="Jordan Valenzuela"/>
    <x v="0"/>
    <x v="0"/>
    <x v="0"/>
    <x v="0"/>
    <n v="1"/>
    <n v="895.03"/>
    <n v="895.03"/>
    <n v="0.05"/>
    <n v="391.74"/>
    <s v="Bank Transfer"/>
    <n v="7"/>
  </r>
  <r>
    <s v="ORD-1002"/>
    <s v="2025-10-15"/>
    <x v="1"/>
    <s v="CUST-150"/>
    <s v="Sophia Conley"/>
    <x v="0"/>
    <x v="1"/>
    <x v="1"/>
    <x v="1"/>
    <n v="2"/>
    <n v="277.99"/>
    <n v="555.98"/>
    <n v="0.2"/>
    <n v="137.52000000000001"/>
    <s v="Card"/>
    <n v="8"/>
  </r>
  <r>
    <s v="ORD-1003"/>
    <s v="2025-06-24"/>
    <x v="2"/>
    <s v="CUST-171"/>
    <s v="Mary Fernandez"/>
    <x v="1"/>
    <x v="2"/>
    <x v="0"/>
    <x v="2"/>
    <n v="1"/>
    <n v="915.39"/>
    <n v="915.39"/>
    <n v="0.05"/>
    <n v="235.44"/>
    <s v="PayPal"/>
    <n v="2"/>
  </r>
  <r>
    <s v="ORD-1004"/>
    <s v="2025-01-23"/>
    <x v="3"/>
    <s v="CUST-286"/>
    <s v="Mark Collins"/>
    <x v="2"/>
    <x v="0"/>
    <x v="1"/>
    <x v="3"/>
    <n v="2"/>
    <n v="443.6"/>
    <n v="887.2"/>
    <n v="0.1"/>
    <n v="246.34"/>
    <s v="PayPal"/>
    <n v="2"/>
  </r>
  <r>
    <s v="ORD-1005"/>
    <s v="2025-12-27"/>
    <x v="4"/>
    <s v="CUST-117"/>
    <s v="Chelsea Smith"/>
    <x v="1"/>
    <x v="2"/>
    <x v="0"/>
    <x v="2"/>
    <n v="10"/>
    <n v="1064.83"/>
    <n v="10648.3"/>
    <n v="0.1"/>
    <n v="3057.69"/>
    <s v="PayPal"/>
    <n v="2"/>
  </r>
  <r>
    <s v="ORD-1006"/>
    <s v="2025-03-25"/>
    <x v="5"/>
    <s v="CUST-194"/>
    <s v="Juan Anderson PhD"/>
    <x v="2"/>
    <x v="2"/>
    <x v="1"/>
    <x v="1"/>
    <n v="7"/>
    <n v="348.01"/>
    <n v="2436.0700000000002"/>
    <n v="0.3"/>
    <n v="368.94"/>
    <s v="Bank Transfer"/>
    <n v="5"/>
  </r>
  <r>
    <s v="ORD-1007"/>
    <s v="2025-03-25"/>
    <x v="5"/>
    <s v="CUST-218"/>
    <s v="Christopher Eaton"/>
    <x v="2"/>
    <x v="3"/>
    <x v="0"/>
    <x v="0"/>
    <n v="10"/>
    <n v="769.27"/>
    <n v="7692.7"/>
    <n v="0.2"/>
    <n v="1589.92"/>
    <s v="Bank Transfer"/>
    <n v="9"/>
  </r>
  <r>
    <s v="ORD-1008"/>
    <s v="2025-01-17"/>
    <x v="3"/>
    <s v="CUST-180"/>
    <s v="Kaylee Ellis"/>
    <x v="2"/>
    <x v="3"/>
    <x v="1"/>
    <x v="4"/>
    <n v="6"/>
    <n v="1014.57"/>
    <n v="6087.42"/>
    <n v="0"/>
    <n v="2790.36"/>
    <s v="Card"/>
    <n v="4"/>
  </r>
  <r>
    <s v="ORD-1009"/>
    <s v="2025-11-26"/>
    <x v="6"/>
    <s v="CUST-217"/>
    <s v="Taylor Soto"/>
    <x v="1"/>
    <x v="3"/>
    <x v="0"/>
    <x v="2"/>
    <n v="4"/>
    <n v="793.42"/>
    <n v="3173.68"/>
    <n v="0.15"/>
    <n v="529.08000000000004"/>
    <s v="Card"/>
    <n v="4"/>
  </r>
  <r>
    <s v="ORD-1010"/>
    <s v="2025-10-26"/>
    <x v="1"/>
    <s v="CUST-202"/>
    <s v="Michael Jones"/>
    <x v="2"/>
    <x v="2"/>
    <x v="0"/>
    <x v="5"/>
    <n v="9"/>
    <n v="330.04"/>
    <n v="2970.36"/>
    <n v="0.2"/>
    <n v="899.73"/>
    <s v="Card"/>
    <n v="9"/>
  </r>
  <r>
    <s v="ORD-1011"/>
    <s v="2025-12-15"/>
    <x v="4"/>
    <s v="CUST-208"/>
    <s v="Lindsey Aguilar"/>
    <x v="0"/>
    <x v="0"/>
    <x v="2"/>
    <x v="6"/>
    <n v="1"/>
    <n v="1036.0999999999999"/>
    <n v="1036.0999999999999"/>
    <n v="0.05"/>
    <n v="294.33"/>
    <s v="PayPal"/>
    <n v="7"/>
  </r>
  <r>
    <s v="ORD-1012"/>
    <s v="2025-01-06"/>
    <x v="3"/>
    <s v="CUST-274"/>
    <s v="Jennifer Perez"/>
    <x v="0"/>
    <x v="0"/>
    <x v="0"/>
    <x v="7"/>
    <n v="9"/>
    <n v="316.67"/>
    <n v="2850.03"/>
    <n v="0.2"/>
    <n v="468.97"/>
    <s v="Bank Transfer"/>
    <n v="9"/>
  </r>
  <r>
    <s v="ORD-1013"/>
    <s v="2025-05-15"/>
    <x v="7"/>
    <s v="CUST-228"/>
    <s v="Matthew Johnson"/>
    <x v="1"/>
    <x v="0"/>
    <x v="2"/>
    <x v="8"/>
    <n v="2"/>
    <n v="366.33"/>
    <n v="732.66"/>
    <n v="0.05"/>
    <n v="256.49"/>
    <s v="Bank Transfer"/>
    <n v="5"/>
  </r>
  <r>
    <s v="ORD-1014"/>
    <s v="2025-10-04"/>
    <x v="1"/>
    <s v="CUST-299"/>
    <s v="Brian Keller"/>
    <x v="0"/>
    <x v="0"/>
    <x v="0"/>
    <x v="5"/>
    <n v="10"/>
    <n v="254.72"/>
    <n v="2547.1999999999998"/>
    <n v="0.1"/>
    <n v="561.65"/>
    <s v="Bank Transfer"/>
    <n v="6"/>
  </r>
  <r>
    <s v="ORD-1015"/>
    <s v="2025-05-04"/>
    <x v="7"/>
    <s v="CUST-245"/>
    <s v="Maria Ayala"/>
    <x v="1"/>
    <x v="0"/>
    <x v="2"/>
    <x v="6"/>
    <n v="2"/>
    <n v="1116.3399999999999"/>
    <n v="2232.6799999999998"/>
    <n v="0.1"/>
    <n v="912.71"/>
    <s v="Bank Transfer"/>
    <n v="8"/>
  </r>
  <r>
    <s v="ORD-1016"/>
    <s v="2025-03-26"/>
    <x v="5"/>
    <s v="CUST-167"/>
    <s v="Alex Baker"/>
    <x v="0"/>
    <x v="1"/>
    <x v="1"/>
    <x v="9"/>
    <n v="3"/>
    <n v="171.5"/>
    <n v="514.5"/>
    <n v="0.15"/>
    <n v="74.900000000000006"/>
    <s v="Card"/>
    <n v="9"/>
  </r>
  <r>
    <s v="ORD-1017"/>
    <s v="2025-08-13"/>
    <x v="8"/>
    <s v="CUST-232"/>
    <s v="Timothy Key"/>
    <x v="2"/>
    <x v="0"/>
    <x v="0"/>
    <x v="10"/>
    <n v="5"/>
    <n v="490.81"/>
    <n v="2454.0500000000002"/>
    <n v="0.3"/>
    <n v="498.26"/>
    <s v="Card"/>
    <n v="4"/>
  </r>
  <r>
    <s v="ORD-1018"/>
    <s v="2025-01-04"/>
    <x v="3"/>
    <s v="CUST-118"/>
    <s v="Edward Guerra"/>
    <x v="0"/>
    <x v="0"/>
    <x v="1"/>
    <x v="11"/>
    <n v="1"/>
    <n v="714.2"/>
    <n v="714.2"/>
    <n v="0.05"/>
    <n v="213.47"/>
    <s v="Card"/>
    <n v="2"/>
  </r>
  <r>
    <s v="ORD-1019"/>
    <s v="2025-04-20"/>
    <x v="9"/>
    <s v="CUST-238"/>
    <s v="David Thompson"/>
    <x v="1"/>
    <x v="1"/>
    <x v="1"/>
    <x v="11"/>
    <n v="2"/>
    <n v="626.70000000000005"/>
    <n v="1253.4000000000001"/>
    <n v="0.1"/>
    <n v="318.57"/>
    <s v="Card"/>
    <n v="8"/>
  </r>
  <r>
    <s v="ORD-1020"/>
    <s v="2025-07-30"/>
    <x v="10"/>
    <s v="CUST-219"/>
    <s v="Ryan Rogers"/>
    <x v="0"/>
    <x v="0"/>
    <x v="2"/>
    <x v="12"/>
    <n v="2"/>
    <n v="134.38"/>
    <n v="268.76"/>
    <n v="0.15"/>
    <n v="93.27"/>
    <s v="Bank Transfer"/>
    <n v="2"/>
  </r>
  <r>
    <s v="ORD-1021"/>
    <s v="2025-04-08"/>
    <x v="9"/>
    <s v="CUST-237"/>
    <s v="Robert Garcia"/>
    <x v="2"/>
    <x v="2"/>
    <x v="1"/>
    <x v="3"/>
    <n v="6"/>
    <n v="964.7"/>
    <n v="5788.2"/>
    <n v="0"/>
    <n v="2607.8000000000002"/>
    <s v="PayPal"/>
    <n v="3"/>
  </r>
  <r>
    <s v="ORD-1022"/>
    <s v="2025-10-09"/>
    <x v="1"/>
    <s v="CUST-125"/>
    <s v="Kelly Barry"/>
    <x v="1"/>
    <x v="0"/>
    <x v="2"/>
    <x v="13"/>
    <n v="4"/>
    <n v="1051.8900000000001"/>
    <n v="4207.5600000000004"/>
    <n v="0"/>
    <n v="1568.36"/>
    <s v="Card"/>
    <n v="4"/>
  </r>
  <r>
    <s v="ORD-1023"/>
    <s v="2025-03-26"/>
    <x v="5"/>
    <s v="CUST-197"/>
    <s v="Nicholas Benjamin"/>
    <x v="1"/>
    <x v="1"/>
    <x v="1"/>
    <x v="3"/>
    <n v="8"/>
    <n v="588"/>
    <n v="4704"/>
    <n v="0.15"/>
    <n v="755.79"/>
    <s v="PayPal"/>
    <n v="8"/>
  </r>
  <r>
    <s v="ORD-1024"/>
    <s v="2025-06-01"/>
    <x v="2"/>
    <s v="CUST-155"/>
    <s v="Kevin Walker"/>
    <x v="1"/>
    <x v="0"/>
    <x v="2"/>
    <x v="13"/>
    <n v="9"/>
    <n v="801.01"/>
    <n v="7209.09"/>
    <n v="0.15"/>
    <n v="2990.83"/>
    <s v="Bank Transfer"/>
    <n v="6"/>
  </r>
  <r>
    <s v="ORD-1025"/>
    <s v="2025-09-18"/>
    <x v="11"/>
    <s v="CUST-120"/>
    <s v="Rose Edwards"/>
    <x v="1"/>
    <x v="0"/>
    <x v="1"/>
    <x v="1"/>
    <n v="10"/>
    <n v="582.61"/>
    <n v="5826.1"/>
    <n v="0.2"/>
    <n v="2269.9699999999998"/>
    <s v="Bank Transfer"/>
    <n v="2"/>
  </r>
  <r>
    <s v="ORD-1026"/>
    <s v="2025-11-01"/>
    <x v="6"/>
    <s v="CUST-110"/>
    <s v="Kevin Nelson"/>
    <x v="0"/>
    <x v="0"/>
    <x v="0"/>
    <x v="10"/>
    <n v="7"/>
    <n v="161.47"/>
    <n v="1130.29"/>
    <n v="0.2"/>
    <n v="408.27"/>
    <s v="PayPal"/>
    <n v="10"/>
  </r>
  <r>
    <s v="ORD-1027"/>
    <s v="2025-06-10"/>
    <x v="2"/>
    <s v="CUST-161"/>
    <s v="Michael Moore"/>
    <x v="2"/>
    <x v="1"/>
    <x v="0"/>
    <x v="5"/>
    <n v="6"/>
    <n v="1122.95"/>
    <n v="6737.7"/>
    <n v="0.05"/>
    <n v="1805.73"/>
    <s v="Card"/>
    <n v="5"/>
  </r>
  <r>
    <s v="ORD-1028"/>
    <s v="2025-02-21"/>
    <x v="0"/>
    <s v="CUST-118"/>
    <s v="Benjamin Palmer"/>
    <x v="0"/>
    <x v="2"/>
    <x v="2"/>
    <x v="8"/>
    <n v="2"/>
    <n v="30.99"/>
    <n v="61.98"/>
    <n v="0.2"/>
    <n v="7.47"/>
    <s v="Bank Transfer"/>
    <n v="5"/>
  </r>
  <r>
    <s v="ORD-1029"/>
    <s v="2025-08-13"/>
    <x v="8"/>
    <s v="CUST-239"/>
    <s v="Sonya Davis"/>
    <x v="0"/>
    <x v="3"/>
    <x v="1"/>
    <x v="11"/>
    <n v="2"/>
    <n v="1057.54"/>
    <n v="2115.08"/>
    <n v="0.1"/>
    <n v="829.97"/>
    <s v="Bank Transfer"/>
    <n v="9"/>
  </r>
  <r>
    <s v="ORD-1030"/>
    <s v="2025-03-10"/>
    <x v="5"/>
    <s v="CUST-167"/>
    <s v="John Liu"/>
    <x v="1"/>
    <x v="0"/>
    <x v="1"/>
    <x v="4"/>
    <n v="9"/>
    <n v="373.27"/>
    <n v="3359.43"/>
    <n v="0.3"/>
    <n v="1195.94"/>
    <s v="Bank Transfer"/>
    <n v="9"/>
  </r>
  <r>
    <s v="ORD-1031"/>
    <s v="2025-12-18"/>
    <x v="4"/>
    <s v="CUST-262"/>
    <s v="Michele Diaz"/>
    <x v="2"/>
    <x v="1"/>
    <x v="1"/>
    <x v="11"/>
    <n v="5"/>
    <n v="733.7"/>
    <n v="3668.5"/>
    <n v="0.3"/>
    <n v="1060.17"/>
    <s v="PayPal"/>
    <n v="1"/>
  </r>
  <r>
    <s v="ORD-1032"/>
    <s v="2025-03-08"/>
    <x v="5"/>
    <s v="CUST-263"/>
    <s v="Kristin Stevenson"/>
    <x v="2"/>
    <x v="2"/>
    <x v="1"/>
    <x v="4"/>
    <n v="7"/>
    <n v="998.63"/>
    <n v="6990.41"/>
    <n v="0"/>
    <n v="3834.81"/>
    <s v="Bank Transfer"/>
    <n v="8"/>
  </r>
  <r>
    <s v="ORD-1033"/>
    <s v="2025-12-20"/>
    <x v="4"/>
    <s v="CUST-138"/>
    <s v="Michele Moody"/>
    <x v="0"/>
    <x v="0"/>
    <x v="0"/>
    <x v="7"/>
    <n v="9"/>
    <n v="31.41"/>
    <n v="282.69"/>
    <n v="0"/>
    <n v="48.62"/>
    <s v="PayPal"/>
    <n v="10"/>
  </r>
  <r>
    <s v="ORD-1034"/>
    <s v="2025-01-21"/>
    <x v="3"/>
    <s v="CUST-191"/>
    <s v="Sharon Jimenez"/>
    <x v="1"/>
    <x v="2"/>
    <x v="0"/>
    <x v="10"/>
    <n v="7"/>
    <n v="170.39"/>
    <n v="1192.73"/>
    <n v="0.1"/>
    <n v="433.83"/>
    <s v="Bank Transfer"/>
    <n v="2"/>
  </r>
  <r>
    <s v="ORD-1035"/>
    <s v="2025-05-02"/>
    <x v="7"/>
    <s v="CUST-141"/>
    <s v="Brenda Cooper"/>
    <x v="1"/>
    <x v="1"/>
    <x v="2"/>
    <x v="14"/>
    <n v="7"/>
    <n v="1169.1300000000001"/>
    <n v="8183.91"/>
    <n v="0.3"/>
    <n v="2796.65"/>
    <s v="Card"/>
    <n v="3"/>
  </r>
  <r>
    <s v="ORD-1036"/>
    <s v="2025-05-17"/>
    <x v="7"/>
    <s v="CUST-140"/>
    <s v="Randall Hall"/>
    <x v="0"/>
    <x v="0"/>
    <x v="0"/>
    <x v="2"/>
    <n v="7"/>
    <n v="966.64"/>
    <n v="6766.48"/>
    <n v="0.3"/>
    <n v="1069.04"/>
    <s v="PayPal"/>
    <n v="1"/>
  </r>
  <r>
    <s v="ORD-1037"/>
    <s v="2025-04-27"/>
    <x v="9"/>
    <s v="CUST-157"/>
    <s v="Lori Jenkins"/>
    <x v="1"/>
    <x v="2"/>
    <x v="2"/>
    <x v="12"/>
    <n v="4"/>
    <n v="983.57"/>
    <n v="3934.28"/>
    <n v="0.15"/>
    <n v="1371.55"/>
    <s v="PayPal"/>
    <n v="6"/>
  </r>
  <r>
    <s v="ORD-1038"/>
    <s v="2025-10-02"/>
    <x v="1"/>
    <s v="CUST-184"/>
    <s v="Jacob Mendoza"/>
    <x v="1"/>
    <x v="0"/>
    <x v="2"/>
    <x v="6"/>
    <n v="5"/>
    <n v="434.35"/>
    <n v="2171.75"/>
    <n v="0.2"/>
    <n v="677.81"/>
    <s v="PayPal"/>
    <n v="3"/>
  </r>
  <r>
    <s v="ORD-1039"/>
    <s v="2025-06-10"/>
    <x v="2"/>
    <s v="CUST-211"/>
    <s v="Christopher Erickson"/>
    <x v="0"/>
    <x v="0"/>
    <x v="0"/>
    <x v="2"/>
    <n v="1"/>
    <n v="147.91999999999999"/>
    <n v="147.91999999999999"/>
    <n v="0.15"/>
    <n v="51.77"/>
    <s v="PayPal"/>
    <n v="10"/>
  </r>
  <r>
    <s v="ORD-1040"/>
    <s v="2025-10-03"/>
    <x v="1"/>
    <s v="CUST-275"/>
    <s v="Lauren Williams"/>
    <x v="0"/>
    <x v="2"/>
    <x v="1"/>
    <x v="11"/>
    <n v="1"/>
    <n v="856.37"/>
    <n v="856.37"/>
    <n v="0"/>
    <n v="292.91000000000003"/>
    <s v="PayPal"/>
    <n v="7"/>
  </r>
  <r>
    <s v="ORD-1041"/>
    <s v="2025-06-03"/>
    <x v="2"/>
    <s v="CUST-229"/>
    <s v="Rhonda Allen"/>
    <x v="2"/>
    <x v="1"/>
    <x v="1"/>
    <x v="4"/>
    <n v="6"/>
    <n v="755.32"/>
    <n v="4531.92"/>
    <n v="0.3"/>
    <n v="668.71"/>
    <s v="PayPal"/>
    <n v="7"/>
  </r>
  <r>
    <s v="ORD-1042"/>
    <s v="2025-07-14"/>
    <x v="10"/>
    <s v="CUST-273"/>
    <s v="Stephen Cooley"/>
    <x v="0"/>
    <x v="2"/>
    <x v="0"/>
    <x v="2"/>
    <n v="9"/>
    <n v="170.2"/>
    <n v="1531.8"/>
    <n v="0.15"/>
    <n v="369.81"/>
    <s v="Bank Transfer"/>
    <n v="10"/>
  </r>
  <r>
    <s v="ORD-1043"/>
    <s v="2025-08-09"/>
    <x v="8"/>
    <s v="CUST-248"/>
    <s v="Nicholas Morgan"/>
    <x v="0"/>
    <x v="3"/>
    <x v="2"/>
    <x v="13"/>
    <n v="9"/>
    <n v="1003.8"/>
    <n v="9034.2000000000007"/>
    <n v="0.1"/>
    <n v="3538.8"/>
    <s v="PayPal"/>
    <n v="8"/>
  </r>
  <r>
    <s v="ORD-1044"/>
    <s v="2025-02-13"/>
    <x v="0"/>
    <s v="CUST-172"/>
    <s v="Caroline Lopez"/>
    <x v="0"/>
    <x v="3"/>
    <x v="2"/>
    <x v="12"/>
    <n v="9"/>
    <n v="578.36"/>
    <n v="5205.24"/>
    <n v="0.3"/>
    <n v="1756.7"/>
    <s v="Card"/>
    <n v="4"/>
  </r>
  <r>
    <s v="ORD-1045"/>
    <s v="2025-05-06"/>
    <x v="7"/>
    <s v="CUST-221"/>
    <s v="Brandon Summers"/>
    <x v="0"/>
    <x v="0"/>
    <x v="0"/>
    <x v="2"/>
    <n v="4"/>
    <n v="971.74"/>
    <n v="3886.96"/>
    <n v="0.05"/>
    <n v="1994.86"/>
    <s v="PayPal"/>
    <n v="7"/>
  </r>
  <r>
    <s v="ORD-1046"/>
    <s v="2025-05-05"/>
    <x v="7"/>
    <s v="CUST-137"/>
    <s v="Mary Greene"/>
    <x v="0"/>
    <x v="0"/>
    <x v="0"/>
    <x v="5"/>
    <n v="4"/>
    <n v="867.65"/>
    <n v="3470.6"/>
    <n v="0.15"/>
    <n v="1039.1400000000001"/>
    <s v="Card"/>
    <n v="7"/>
  </r>
  <r>
    <s v="ORD-1047"/>
    <s v="2025-03-04"/>
    <x v="5"/>
    <s v="CUST-216"/>
    <s v="Stephanie Rivera"/>
    <x v="1"/>
    <x v="1"/>
    <x v="1"/>
    <x v="15"/>
    <n v="9"/>
    <n v="568.16999999999996"/>
    <n v="5113.53"/>
    <n v="0.2"/>
    <n v="1842.18"/>
    <s v="Bank Transfer"/>
    <n v="9"/>
  </r>
  <r>
    <s v="ORD-1048"/>
    <s v="2025-09-16"/>
    <x v="11"/>
    <s v="CUST-209"/>
    <s v="Leslie Suarez"/>
    <x v="0"/>
    <x v="1"/>
    <x v="0"/>
    <x v="5"/>
    <n v="6"/>
    <n v="1141.05"/>
    <n v="6846.3"/>
    <n v="0.15"/>
    <n v="1774.55"/>
    <s v="Card"/>
    <n v="8"/>
  </r>
  <r>
    <s v="ORD-1049"/>
    <s v="2025-09-24"/>
    <x v="11"/>
    <s v="CUST-224"/>
    <s v="Michael Mcmahon"/>
    <x v="0"/>
    <x v="2"/>
    <x v="2"/>
    <x v="8"/>
    <n v="4"/>
    <n v="1011.04"/>
    <n v="4044.16"/>
    <n v="0.1"/>
    <n v="886.91"/>
    <s v="PayPal"/>
    <n v="8"/>
  </r>
  <r>
    <s v="ORD-1050"/>
    <s v="2025-10-04"/>
    <x v="1"/>
    <s v="CUST-120"/>
    <s v="Ashley Nelson"/>
    <x v="1"/>
    <x v="2"/>
    <x v="1"/>
    <x v="4"/>
    <n v="5"/>
    <n v="296.7"/>
    <n v="1483.5"/>
    <n v="0.1"/>
    <n v="563.59"/>
    <s v="Card"/>
    <n v="7"/>
  </r>
  <r>
    <s v="ORD-1051"/>
    <s v="2025-08-27"/>
    <x v="8"/>
    <s v="CUST-206"/>
    <s v="Christian Bryant"/>
    <x v="1"/>
    <x v="2"/>
    <x v="0"/>
    <x v="10"/>
    <n v="4"/>
    <n v="95.79"/>
    <n v="383.16"/>
    <n v="0.15"/>
    <n v="136.02000000000001"/>
    <s v="PayPal"/>
    <n v="7"/>
  </r>
  <r>
    <s v="ORD-1052"/>
    <s v="2025-06-02"/>
    <x v="2"/>
    <s v="CUST-292"/>
    <s v="Betty Kramer"/>
    <x v="2"/>
    <x v="1"/>
    <x v="0"/>
    <x v="0"/>
    <n v="10"/>
    <n v="468.85"/>
    <n v="4688.5"/>
    <n v="0"/>
    <n v="810.66"/>
    <s v="Bank Transfer"/>
    <n v="9"/>
  </r>
  <r>
    <s v="ORD-1053"/>
    <s v="2025-07-19"/>
    <x v="10"/>
    <s v="CUST-186"/>
    <s v="Rachel Meyers"/>
    <x v="0"/>
    <x v="1"/>
    <x v="0"/>
    <x v="10"/>
    <n v="8"/>
    <n v="278.92"/>
    <n v="2231.36"/>
    <n v="0.15"/>
    <n v="674.72"/>
    <s v="Bank Transfer"/>
    <n v="3"/>
  </r>
  <r>
    <s v="ORD-1054"/>
    <s v="2025-12-06"/>
    <x v="4"/>
    <s v="CUST-106"/>
    <s v="Thomas Olson"/>
    <x v="1"/>
    <x v="1"/>
    <x v="2"/>
    <x v="12"/>
    <n v="10"/>
    <n v="650.27"/>
    <n v="6502.7"/>
    <n v="0.15"/>
    <n v="1731.39"/>
    <s v="Card"/>
    <n v="8"/>
  </r>
  <r>
    <s v="ORD-1055"/>
    <s v="2025-06-22"/>
    <x v="2"/>
    <s v="CUST-294"/>
    <s v="Christine Maddox"/>
    <x v="2"/>
    <x v="3"/>
    <x v="1"/>
    <x v="1"/>
    <n v="5"/>
    <n v="467.34"/>
    <n v="2336.6999999999998"/>
    <n v="0.05"/>
    <n v="817.18"/>
    <s v="PayPal"/>
    <n v="5"/>
  </r>
  <r>
    <s v="ORD-1056"/>
    <s v="2025-06-29"/>
    <x v="2"/>
    <s v="CUST-157"/>
    <s v="Mr. Randy May"/>
    <x v="0"/>
    <x v="0"/>
    <x v="1"/>
    <x v="3"/>
    <n v="1"/>
    <n v="903.85"/>
    <n v="903.85"/>
    <n v="0"/>
    <n v="135.61000000000001"/>
    <s v="Bank Transfer"/>
    <n v="1"/>
  </r>
  <r>
    <s v="ORD-1057"/>
    <s v="2025-03-06"/>
    <x v="5"/>
    <s v="CUST-221"/>
    <s v="Kimberly Garrett"/>
    <x v="0"/>
    <x v="0"/>
    <x v="1"/>
    <x v="15"/>
    <n v="4"/>
    <n v="1010.29"/>
    <n v="4041.16"/>
    <n v="0.2"/>
    <n v="1581.05"/>
    <s v="Bank Transfer"/>
    <n v="4"/>
  </r>
  <r>
    <s v="ORD-1058"/>
    <s v="2025-02-28"/>
    <x v="0"/>
    <s v="CUST-299"/>
    <s v="Kevin Miller"/>
    <x v="1"/>
    <x v="3"/>
    <x v="2"/>
    <x v="8"/>
    <n v="6"/>
    <n v="217.99"/>
    <n v="1307.94"/>
    <n v="0.2"/>
    <n v="172.13"/>
    <s v="Card"/>
    <n v="10"/>
  </r>
  <r>
    <s v="ORD-1059"/>
    <s v="2025-04-12"/>
    <x v="9"/>
    <s v="CUST-119"/>
    <s v="Karen Peterson"/>
    <x v="0"/>
    <x v="2"/>
    <x v="1"/>
    <x v="11"/>
    <n v="10"/>
    <n v="819.27"/>
    <n v="8192.7000000000007"/>
    <n v="0.15"/>
    <n v="2725.2"/>
    <s v="Card"/>
    <n v="5"/>
  </r>
  <r>
    <s v="ORD-1060"/>
    <s v="2025-06-27"/>
    <x v="2"/>
    <s v="CUST-236"/>
    <s v="Audrey Fritz"/>
    <x v="2"/>
    <x v="3"/>
    <x v="0"/>
    <x v="5"/>
    <n v="2"/>
    <n v="959.55"/>
    <n v="1919.1"/>
    <n v="0.2"/>
    <n v="363.78"/>
    <s v="Card"/>
    <n v="9"/>
  </r>
  <r>
    <s v="ORD-1061"/>
    <s v="2025-07-05"/>
    <x v="10"/>
    <s v="CUST-262"/>
    <s v="Felicia Wood"/>
    <x v="2"/>
    <x v="2"/>
    <x v="0"/>
    <x v="2"/>
    <n v="1"/>
    <n v="1022.5"/>
    <n v="1022.5"/>
    <n v="0.15"/>
    <n v="441.33"/>
    <s v="PayPal"/>
    <n v="3"/>
  </r>
  <r>
    <s v="ORD-1062"/>
    <s v="2025-08-27"/>
    <x v="8"/>
    <s v="CUST-211"/>
    <s v="Susan Hickman"/>
    <x v="0"/>
    <x v="3"/>
    <x v="0"/>
    <x v="5"/>
    <n v="5"/>
    <n v="746.78"/>
    <n v="3733.9"/>
    <n v="0.2"/>
    <n v="717.34"/>
    <s v="PayPal"/>
    <n v="4"/>
  </r>
  <r>
    <s v="ORD-1063"/>
    <s v="2025-12-09"/>
    <x v="4"/>
    <s v="CUST-197"/>
    <s v="Tina Hernandez"/>
    <x v="2"/>
    <x v="0"/>
    <x v="1"/>
    <x v="11"/>
    <n v="8"/>
    <n v="307.76"/>
    <n v="2462.08"/>
    <n v="0.15"/>
    <n v="674"/>
    <s v="PayPal"/>
    <n v="6"/>
  </r>
  <r>
    <s v="ORD-1064"/>
    <s v="2025-11-02"/>
    <x v="6"/>
    <s v="CUST-279"/>
    <s v="Richard Odonnell"/>
    <x v="2"/>
    <x v="0"/>
    <x v="1"/>
    <x v="3"/>
    <n v="4"/>
    <n v="438.69"/>
    <n v="1754.76"/>
    <n v="0.1"/>
    <n v="653.61"/>
    <s v="Bank Transfer"/>
    <n v="4"/>
  </r>
  <r>
    <s v="ORD-1065"/>
    <s v="2025-11-27"/>
    <x v="6"/>
    <s v="CUST-282"/>
    <s v="Jesus Santos"/>
    <x v="2"/>
    <x v="1"/>
    <x v="1"/>
    <x v="15"/>
    <n v="7"/>
    <n v="596.52"/>
    <n v="4175.6400000000003"/>
    <n v="0.05"/>
    <n v="1085.95"/>
    <s v="Card"/>
    <n v="2"/>
  </r>
  <r>
    <s v="ORD-1066"/>
    <s v="2025-07-08"/>
    <x v="10"/>
    <s v="CUST-221"/>
    <s v="Henry Garner"/>
    <x v="0"/>
    <x v="3"/>
    <x v="2"/>
    <x v="12"/>
    <n v="7"/>
    <n v="836.31"/>
    <n v="5854.17"/>
    <n v="0.1"/>
    <n v="1498.52"/>
    <s v="PayPal"/>
    <n v="9"/>
  </r>
  <r>
    <s v="ORD-1067"/>
    <s v="2025-04-09"/>
    <x v="9"/>
    <s v="CUST-180"/>
    <s v="Vincent Gallegos"/>
    <x v="1"/>
    <x v="2"/>
    <x v="2"/>
    <x v="8"/>
    <n v="8"/>
    <n v="339.68"/>
    <n v="2717.44"/>
    <n v="0.1"/>
    <n v="1119.5999999999999"/>
    <s v="Card"/>
    <n v="4"/>
  </r>
  <r>
    <s v="ORD-1068"/>
    <s v="2025-02-21"/>
    <x v="0"/>
    <s v="CUST-149"/>
    <s v="Isaiah Mitchell"/>
    <x v="2"/>
    <x v="2"/>
    <x v="0"/>
    <x v="7"/>
    <n v="5"/>
    <n v="875.01"/>
    <n v="4375.05"/>
    <n v="0.2"/>
    <n v="1089.51"/>
    <s v="PayPal"/>
    <n v="3"/>
  </r>
  <r>
    <s v="ORD-1069"/>
    <s v="2025-10-11"/>
    <x v="1"/>
    <s v="CUST-174"/>
    <s v="Melissa Novak"/>
    <x v="0"/>
    <x v="2"/>
    <x v="2"/>
    <x v="6"/>
    <n v="9"/>
    <n v="169.37"/>
    <n v="1524.33"/>
    <n v="0"/>
    <n v="244.32"/>
    <s v="Bank Transfer"/>
    <n v="8"/>
  </r>
  <r>
    <s v="ORD-1070"/>
    <s v="2025-04-05"/>
    <x v="9"/>
    <s v="CUST-113"/>
    <s v="Sonia Scott"/>
    <x v="2"/>
    <x v="1"/>
    <x v="1"/>
    <x v="1"/>
    <n v="10"/>
    <n v="355.52"/>
    <n v="3555.2"/>
    <n v="0.15"/>
    <n v="1129.6300000000001"/>
    <s v="Card"/>
    <n v="2"/>
  </r>
  <r>
    <s v="ORD-1071"/>
    <s v="2025-03-18"/>
    <x v="5"/>
    <s v="CUST-244"/>
    <s v="Grace Jones"/>
    <x v="2"/>
    <x v="0"/>
    <x v="2"/>
    <x v="13"/>
    <n v="2"/>
    <n v="700.88"/>
    <n v="1401.76"/>
    <n v="0.3"/>
    <n v="518.64"/>
    <s v="Card"/>
    <n v="2"/>
  </r>
  <r>
    <s v="ORD-1072"/>
    <s v="2025-09-25"/>
    <x v="11"/>
    <s v="CUST-197"/>
    <s v="Megan Moyer"/>
    <x v="2"/>
    <x v="1"/>
    <x v="0"/>
    <x v="7"/>
    <n v="10"/>
    <n v="723.43"/>
    <n v="7234.3"/>
    <n v="0.2"/>
    <n v="2660.63"/>
    <s v="PayPal"/>
    <n v="10"/>
  </r>
  <r>
    <s v="ORD-1073"/>
    <s v="2025-02-20"/>
    <x v="0"/>
    <s v="CUST-295"/>
    <s v="Jacqueline Dalton"/>
    <x v="1"/>
    <x v="2"/>
    <x v="2"/>
    <x v="8"/>
    <n v="10"/>
    <n v="752.81"/>
    <n v="7528.1"/>
    <n v="0.2"/>
    <n v="999.47"/>
    <s v="PayPal"/>
    <n v="2"/>
  </r>
  <r>
    <s v="ORD-1074"/>
    <s v="2025-08-19"/>
    <x v="8"/>
    <s v="CUST-276"/>
    <s v="Brent Berry"/>
    <x v="0"/>
    <x v="1"/>
    <x v="1"/>
    <x v="15"/>
    <n v="3"/>
    <n v="671.35"/>
    <n v="2014.05"/>
    <n v="0.05"/>
    <n v="1050.29"/>
    <s v="PayPal"/>
    <n v="1"/>
  </r>
  <r>
    <s v="ORD-1075"/>
    <s v="2025-04-30"/>
    <x v="9"/>
    <s v="CUST-167"/>
    <s v="Debra Anderson"/>
    <x v="0"/>
    <x v="2"/>
    <x v="1"/>
    <x v="11"/>
    <n v="5"/>
    <n v="849.53"/>
    <n v="4247.6499999999996"/>
    <n v="0.15"/>
    <n v="1882.98"/>
    <s v="PayPal"/>
    <n v="2"/>
  </r>
  <r>
    <s v="ORD-1076"/>
    <s v="2025-03-26"/>
    <x v="5"/>
    <s v="CUST-178"/>
    <s v="Randy Simon"/>
    <x v="0"/>
    <x v="3"/>
    <x v="0"/>
    <x v="10"/>
    <n v="3"/>
    <n v="1091.93"/>
    <n v="3275.79"/>
    <n v="0.05"/>
    <n v="1622.71"/>
    <s v="PayPal"/>
    <n v="2"/>
  </r>
  <r>
    <s v="ORD-1077"/>
    <s v="2025-08-13"/>
    <x v="8"/>
    <s v="CUST-120"/>
    <s v="Brandy Smith"/>
    <x v="0"/>
    <x v="0"/>
    <x v="2"/>
    <x v="8"/>
    <n v="7"/>
    <n v="1132.3599999999999"/>
    <n v="7926.52"/>
    <n v="0.2"/>
    <n v="2118.0100000000002"/>
    <s v="PayPal"/>
    <n v="6"/>
  </r>
  <r>
    <s v="ORD-1078"/>
    <s v="2025-10-22"/>
    <x v="1"/>
    <s v="CUST-250"/>
    <s v="Robert White"/>
    <x v="1"/>
    <x v="3"/>
    <x v="0"/>
    <x v="2"/>
    <n v="1"/>
    <n v="127.77"/>
    <n v="127.77"/>
    <n v="0.3"/>
    <n v="19.28"/>
    <s v="Bank Transfer"/>
    <n v="1"/>
  </r>
  <r>
    <s v="ORD-1079"/>
    <s v="2025-10-27"/>
    <x v="1"/>
    <s v="CUST-211"/>
    <s v="Daniel Bright"/>
    <x v="0"/>
    <x v="1"/>
    <x v="1"/>
    <x v="3"/>
    <n v="9"/>
    <n v="788.78"/>
    <n v="7099.02"/>
    <n v="0.1"/>
    <n v="3050.19"/>
    <s v="Card"/>
    <n v="8"/>
  </r>
  <r>
    <s v="ORD-1080"/>
    <s v="2025-06-18"/>
    <x v="2"/>
    <s v="CUST-205"/>
    <s v="Catherine Johnson"/>
    <x v="0"/>
    <x v="1"/>
    <x v="2"/>
    <x v="13"/>
    <n v="6"/>
    <n v="398.85"/>
    <n v="2393.1"/>
    <n v="0"/>
    <n v="495.15"/>
    <s v="PayPal"/>
    <n v="7"/>
  </r>
  <r>
    <s v="ORD-1081"/>
    <s v="2025-07-26"/>
    <x v="10"/>
    <s v="CUST-231"/>
    <s v="Rachel Gibson"/>
    <x v="1"/>
    <x v="1"/>
    <x v="0"/>
    <x v="0"/>
    <n v="8"/>
    <n v="123.91"/>
    <n v="991.28"/>
    <n v="0.1"/>
    <n v="375.32"/>
    <s v="PayPal"/>
    <n v="1"/>
  </r>
  <r>
    <s v="ORD-1082"/>
    <s v="2025-01-27"/>
    <x v="3"/>
    <s v="CUST-152"/>
    <s v="Nicole Garcia"/>
    <x v="2"/>
    <x v="2"/>
    <x v="1"/>
    <x v="9"/>
    <n v="6"/>
    <n v="754.71"/>
    <n v="4528.26"/>
    <n v="0.15"/>
    <n v="1154.08"/>
    <s v="PayPal"/>
    <n v="8"/>
  </r>
  <r>
    <s v="ORD-1083"/>
    <s v="2025-05-03"/>
    <x v="7"/>
    <s v="CUST-281"/>
    <s v="Kayla Horton"/>
    <x v="1"/>
    <x v="3"/>
    <x v="0"/>
    <x v="7"/>
    <n v="2"/>
    <n v="54.07"/>
    <n v="108.14"/>
    <n v="0.3"/>
    <n v="23.2"/>
    <s v="Bank Transfer"/>
    <n v="1"/>
  </r>
  <r>
    <s v="ORD-1084"/>
    <s v="2025-03-02"/>
    <x v="5"/>
    <s v="CUST-265"/>
    <s v="Nathan Little"/>
    <x v="1"/>
    <x v="1"/>
    <x v="0"/>
    <x v="7"/>
    <n v="2"/>
    <n v="285.14999999999998"/>
    <n v="570.29999999999995"/>
    <n v="0"/>
    <n v="208.4"/>
    <s v="Bank Transfer"/>
    <n v="5"/>
  </r>
  <r>
    <s v="ORD-1085"/>
    <s v="2025-10-10"/>
    <x v="1"/>
    <s v="CUST-137"/>
    <s v="Jeremy Nguyen"/>
    <x v="2"/>
    <x v="2"/>
    <x v="0"/>
    <x v="2"/>
    <n v="7"/>
    <n v="1004.97"/>
    <n v="7034.79"/>
    <n v="0.15"/>
    <n v="2705.8"/>
    <s v="Bank Transfer"/>
    <n v="9"/>
  </r>
  <r>
    <s v="ORD-1086"/>
    <s v="2025-09-17"/>
    <x v="11"/>
    <s v="CUST-168"/>
    <s v="Caitlin Garcia"/>
    <x v="1"/>
    <x v="3"/>
    <x v="0"/>
    <x v="10"/>
    <n v="2"/>
    <n v="345.97"/>
    <n v="691.94"/>
    <n v="0.15"/>
    <n v="243.52"/>
    <s v="Bank Transfer"/>
    <n v="5"/>
  </r>
  <r>
    <s v="ORD-1087"/>
    <s v="2025-06-26"/>
    <x v="2"/>
    <s v="CUST-185"/>
    <s v="Sara Maldonado"/>
    <x v="0"/>
    <x v="1"/>
    <x v="0"/>
    <x v="5"/>
    <n v="8"/>
    <n v="1041.01"/>
    <n v="8328.08"/>
    <n v="0.15"/>
    <n v="2368.36"/>
    <s v="PayPal"/>
    <n v="6"/>
  </r>
  <r>
    <s v="ORD-1088"/>
    <s v="2025-07-30"/>
    <x v="10"/>
    <s v="CUST-111"/>
    <s v="Joshua Martinez"/>
    <x v="2"/>
    <x v="1"/>
    <x v="1"/>
    <x v="4"/>
    <n v="4"/>
    <n v="694.72"/>
    <n v="2778.88"/>
    <n v="0.05"/>
    <n v="548.04"/>
    <s v="Bank Transfer"/>
    <n v="7"/>
  </r>
  <r>
    <s v="ORD-1089"/>
    <s v="2025-10-30"/>
    <x v="1"/>
    <s v="CUST-184"/>
    <s v="Chloe Townsend"/>
    <x v="1"/>
    <x v="1"/>
    <x v="2"/>
    <x v="12"/>
    <n v="8"/>
    <n v="1158.49"/>
    <n v="9267.92"/>
    <n v="0.05"/>
    <n v="3073.51"/>
    <s v="Card"/>
    <n v="9"/>
  </r>
  <r>
    <s v="ORD-1090"/>
    <s v="2025-02-08"/>
    <x v="0"/>
    <s v="CUST-220"/>
    <s v="Matthew Caldwell"/>
    <x v="2"/>
    <x v="3"/>
    <x v="2"/>
    <x v="6"/>
    <n v="3"/>
    <n v="503.77"/>
    <n v="1511.31"/>
    <n v="0.3"/>
    <n v="171.4"/>
    <s v="Bank Transfer"/>
    <n v="7"/>
  </r>
  <r>
    <s v="ORD-1091"/>
    <s v="2025-06-12"/>
    <x v="2"/>
    <s v="CUST-260"/>
    <s v="Amy Lee"/>
    <x v="0"/>
    <x v="1"/>
    <x v="0"/>
    <x v="0"/>
    <n v="6"/>
    <n v="1025.76"/>
    <n v="6154.56"/>
    <n v="0.2"/>
    <n v="1959.59"/>
    <s v="Bank Transfer"/>
    <n v="1"/>
  </r>
  <r>
    <s v="ORD-1092"/>
    <s v="2025-02-16"/>
    <x v="0"/>
    <s v="CUST-211"/>
    <s v="Joshua Fisher"/>
    <x v="1"/>
    <x v="0"/>
    <x v="0"/>
    <x v="0"/>
    <n v="4"/>
    <n v="764.77"/>
    <n v="3059.08"/>
    <n v="0.1"/>
    <n v="415.81"/>
    <s v="PayPal"/>
    <n v="3"/>
  </r>
  <r>
    <s v="ORD-1093"/>
    <s v="2025-07-11"/>
    <x v="10"/>
    <s v="CUST-210"/>
    <s v="Richard Hill"/>
    <x v="1"/>
    <x v="2"/>
    <x v="0"/>
    <x v="2"/>
    <n v="1"/>
    <n v="74.27"/>
    <n v="74.27"/>
    <n v="0"/>
    <n v="32.130000000000003"/>
    <s v="Bank Transfer"/>
    <n v="7"/>
  </r>
  <r>
    <s v="ORD-1094"/>
    <s v="2025-11-14"/>
    <x v="6"/>
    <s v="CUST-274"/>
    <s v="Carla Anderson"/>
    <x v="1"/>
    <x v="1"/>
    <x v="0"/>
    <x v="10"/>
    <n v="3"/>
    <n v="226.58"/>
    <n v="679.74"/>
    <n v="0.2"/>
    <n v="109.66"/>
    <s v="Bank Transfer"/>
    <n v="3"/>
  </r>
  <r>
    <s v="ORD-1095"/>
    <s v="2025-08-27"/>
    <x v="8"/>
    <s v="CUST-173"/>
    <s v="Katrina Miller"/>
    <x v="0"/>
    <x v="2"/>
    <x v="1"/>
    <x v="3"/>
    <n v="5"/>
    <n v="562.29"/>
    <n v="2811.45"/>
    <n v="0.3"/>
    <n v="1075.01"/>
    <s v="Card"/>
    <n v="8"/>
  </r>
  <r>
    <s v="ORD-1096"/>
    <s v="2025-08-22"/>
    <x v="8"/>
    <s v="CUST-177"/>
    <s v="Paula Harris"/>
    <x v="1"/>
    <x v="1"/>
    <x v="2"/>
    <x v="14"/>
    <n v="5"/>
    <n v="773.95"/>
    <n v="3869.75"/>
    <n v="0.15"/>
    <n v="900.85"/>
    <s v="PayPal"/>
    <n v="2"/>
  </r>
  <r>
    <s v="ORD-1097"/>
    <s v="2025-06-01"/>
    <x v="2"/>
    <s v="CUST-105"/>
    <s v="Patrick Mitchell"/>
    <x v="0"/>
    <x v="1"/>
    <x v="1"/>
    <x v="3"/>
    <n v="10"/>
    <n v="443.57"/>
    <n v="4435.7"/>
    <n v="0.1"/>
    <n v="610.49"/>
    <s v="PayPal"/>
    <n v="1"/>
  </r>
  <r>
    <s v="ORD-1098"/>
    <s v="2025-04-28"/>
    <x v="9"/>
    <s v="CUST-255"/>
    <s v="Julian Jennings"/>
    <x v="2"/>
    <x v="2"/>
    <x v="0"/>
    <x v="0"/>
    <n v="10"/>
    <n v="899.3"/>
    <n v="8993"/>
    <n v="0.1"/>
    <n v="1940.09"/>
    <s v="Bank Transfer"/>
    <n v="4"/>
  </r>
  <r>
    <s v="ORD-1099"/>
    <s v="2025-06-08"/>
    <x v="2"/>
    <s v="CUST-212"/>
    <s v="Robert Jackson"/>
    <x v="1"/>
    <x v="3"/>
    <x v="0"/>
    <x v="2"/>
    <n v="3"/>
    <n v="761.33"/>
    <n v="2283.9899999999998"/>
    <n v="0.3"/>
    <n v="465.99"/>
    <s v="Bank Transfer"/>
    <n v="3"/>
  </r>
  <r>
    <s v="ORD-1100"/>
    <s v="2025-10-04"/>
    <x v="1"/>
    <s v="CUST-193"/>
    <s v="Wendy Hester"/>
    <x v="0"/>
    <x v="3"/>
    <x v="1"/>
    <x v="11"/>
    <n v="6"/>
    <n v="902.03"/>
    <n v="5412.18"/>
    <n v="0.05"/>
    <n v="2414.9"/>
    <s v="Card"/>
    <n v="5"/>
  </r>
  <r>
    <s v="ORD-1101"/>
    <s v="2025-03-14"/>
    <x v="5"/>
    <s v="CUST-293"/>
    <s v="Cindy Williams"/>
    <x v="1"/>
    <x v="1"/>
    <x v="2"/>
    <x v="8"/>
    <n v="6"/>
    <n v="968.99"/>
    <n v="5813.94"/>
    <n v="0.15"/>
    <n v="814.63"/>
    <s v="Bank Transfer"/>
    <n v="6"/>
  </r>
  <r>
    <s v="ORD-1102"/>
    <s v="2025-12-11"/>
    <x v="4"/>
    <s v="CUST-291"/>
    <s v="Jesse Walker"/>
    <x v="0"/>
    <x v="3"/>
    <x v="1"/>
    <x v="3"/>
    <n v="1"/>
    <n v="332.06"/>
    <n v="332.06"/>
    <n v="0"/>
    <n v="122.23"/>
    <s v="Bank Transfer"/>
    <n v="7"/>
  </r>
  <r>
    <s v="ORD-1103"/>
    <s v="2025-10-15"/>
    <x v="1"/>
    <s v="CUST-183"/>
    <s v="Emily Salazar"/>
    <x v="0"/>
    <x v="2"/>
    <x v="0"/>
    <x v="2"/>
    <n v="2"/>
    <n v="816.31"/>
    <n v="1632.62"/>
    <n v="0.15"/>
    <n v="749.36"/>
    <s v="Bank Transfer"/>
    <n v="2"/>
  </r>
  <r>
    <s v="ORD-1104"/>
    <s v="2025-01-20"/>
    <x v="3"/>
    <s v="CUST-177"/>
    <s v="Cindy Johnson"/>
    <x v="2"/>
    <x v="0"/>
    <x v="0"/>
    <x v="7"/>
    <n v="5"/>
    <n v="786.1"/>
    <n v="3930.5"/>
    <n v="0"/>
    <n v="1942.02"/>
    <s v="Card"/>
    <n v="4"/>
  </r>
  <r>
    <s v="ORD-1105"/>
    <s v="2025-12-23"/>
    <x v="4"/>
    <s v="CUST-238"/>
    <s v="Nicole Chavez"/>
    <x v="2"/>
    <x v="2"/>
    <x v="0"/>
    <x v="10"/>
    <n v="7"/>
    <n v="555.29999999999995"/>
    <n v="3887.1"/>
    <n v="0.3"/>
    <n v="463.24"/>
    <s v="PayPal"/>
    <n v="2"/>
  </r>
  <r>
    <s v="ORD-1106"/>
    <s v="2025-07-09"/>
    <x v="10"/>
    <s v="CUST-155"/>
    <s v="Angela Mullins"/>
    <x v="2"/>
    <x v="1"/>
    <x v="2"/>
    <x v="14"/>
    <n v="7"/>
    <n v="1128.08"/>
    <n v="7896.56"/>
    <n v="0.1"/>
    <n v="3815.79"/>
    <s v="Card"/>
    <n v="6"/>
  </r>
  <r>
    <s v="ORD-1107"/>
    <s v="2025-07-23"/>
    <x v="10"/>
    <s v="CUST-170"/>
    <s v="Cheryl Mcdaniel"/>
    <x v="1"/>
    <x v="0"/>
    <x v="1"/>
    <x v="4"/>
    <n v="6"/>
    <n v="662.47"/>
    <n v="3974.82"/>
    <n v="0.3"/>
    <n v="1131.1199999999999"/>
    <s v="PayPal"/>
    <n v="2"/>
  </r>
  <r>
    <s v="ORD-1108"/>
    <s v="2025-05-05"/>
    <x v="7"/>
    <s v="CUST-132"/>
    <s v="Donna Adams"/>
    <x v="0"/>
    <x v="2"/>
    <x v="0"/>
    <x v="10"/>
    <n v="10"/>
    <n v="1165.8900000000001"/>
    <n v="11658.9"/>
    <n v="0"/>
    <n v="2743.13"/>
    <s v="Card"/>
    <n v="9"/>
  </r>
  <r>
    <s v="ORD-1109"/>
    <s v="2025-03-17"/>
    <x v="5"/>
    <s v="CUST-252"/>
    <s v="Aaron Smith"/>
    <x v="1"/>
    <x v="3"/>
    <x v="1"/>
    <x v="9"/>
    <n v="4"/>
    <n v="979.4"/>
    <n v="3917.6"/>
    <n v="0.05"/>
    <n v="1557.82"/>
    <s v="Card"/>
    <n v="3"/>
  </r>
  <r>
    <s v="ORD-1110"/>
    <s v="2025-07-03"/>
    <x v="10"/>
    <s v="CUST-160"/>
    <s v="Rachel Rivera"/>
    <x v="0"/>
    <x v="3"/>
    <x v="0"/>
    <x v="2"/>
    <n v="3"/>
    <n v="149.71"/>
    <n v="449.13"/>
    <n v="0"/>
    <n v="223.34"/>
    <s v="Card"/>
    <n v="3"/>
  </r>
  <r>
    <s v="ORD-1111"/>
    <s v="2025-02-02"/>
    <x v="0"/>
    <s v="CUST-221"/>
    <s v="James Davis"/>
    <x v="2"/>
    <x v="3"/>
    <x v="2"/>
    <x v="6"/>
    <n v="3"/>
    <n v="895.23"/>
    <n v="2685.69"/>
    <n v="0.2"/>
    <n v="1084.03"/>
    <s v="Bank Transfer"/>
    <n v="10"/>
  </r>
  <r>
    <s v="ORD-1112"/>
    <s v="2025-12-04"/>
    <x v="4"/>
    <s v="CUST-233"/>
    <s v="Douglas Collins"/>
    <x v="2"/>
    <x v="1"/>
    <x v="1"/>
    <x v="3"/>
    <n v="9"/>
    <n v="281.43"/>
    <n v="2532.87"/>
    <n v="0.2"/>
    <n v="1079.31"/>
    <s v="Bank Transfer"/>
    <n v="1"/>
  </r>
  <r>
    <s v="ORD-1113"/>
    <s v="2025-08-16"/>
    <x v="8"/>
    <s v="CUST-118"/>
    <s v="Leslie Lynn"/>
    <x v="1"/>
    <x v="3"/>
    <x v="1"/>
    <x v="3"/>
    <n v="7"/>
    <n v="523"/>
    <n v="3661"/>
    <n v="0"/>
    <n v="1295.5999999999999"/>
    <s v="Bank Transfer"/>
    <n v="3"/>
  </r>
  <r>
    <s v="ORD-1114"/>
    <s v="2025-06-16"/>
    <x v="2"/>
    <s v="CUST-197"/>
    <s v="Joshua Miller"/>
    <x v="0"/>
    <x v="3"/>
    <x v="1"/>
    <x v="15"/>
    <n v="5"/>
    <n v="756.69"/>
    <n v="3783.45"/>
    <n v="0.2"/>
    <n v="1000.82"/>
    <s v="PayPal"/>
    <n v="9"/>
  </r>
  <r>
    <s v="ORD-1115"/>
    <s v="2025-11-30"/>
    <x v="6"/>
    <s v="CUST-296"/>
    <s v="Philip Joseph"/>
    <x v="0"/>
    <x v="2"/>
    <x v="0"/>
    <x v="7"/>
    <n v="2"/>
    <n v="955.85"/>
    <n v="1911.7"/>
    <n v="0"/>
    <n v="399.32"/>
    <s v="PayPal"/>
    <n v="8"/>
  </r>
  <r>
    <s v="ORD-1116"/>
    <s v="2025-02-18"/>
    <x v="0"/>
    <s v="CUST-180"/>
    <s v="Caitlin Wilson"/>
    <x v="2"/>
    <x v="3"/>
    <x v="1"/>
    <x v="3"/>
    <n v="6"/>
    <n v="996.35"/>
    <n v="5978.1"/>
    <n v="0.15"/>
    <n v="1949.24"/>
    <s v="Bank Transfer"/>
    <n v="5"/>
  </r>
  <r>
    <s v="ORD-1117"/>
    <s v="2025-02-19"/>
    <x v="0"/>
    <s v="CUST-290"/>
    <s v="Sydney Jones"/>
    <x v="0"/>
    <x v="3"/>
    <x v="2"/>
    <x v="12"/>
    <n v="8"/>
    <n v="99.22"/>
    <n v="793.76"/>
    <n v="0"/>
    <n v="406.97"/>
    <s v="Card"/>
    <n v="9"/>
  </r>
  <r>
    <s v="ORD-1118"/>
    <s v="2025-07-01"/>
    <x v="10"/>
    <s v="CUST-270"/>
    <s v="Richard Brown"/>
    <x v="2"/>
    <x v="0"/>
    <x v="1"/>
    <x v="9"/>
    <n v="9"/>
    <n v="682.79"/>
    <n v="6145.11"/>
    <n v="0.3"/>
    <n v="2155.5500000000002"/>
    <s v="PayPal"/>
    <n v="10"/>
  </r>
  <r>
    <s v="ORD-1119"/>
    <s v="2025-09-04"/>
    <x v="11"/>
    <s v="CUST-157"/>
    <s v="Julie Nunez"/>
    <x v="1"/>
    <x v="3"/>
    <x v="2"/>
    <x v="8"/>
    <n v="2"/>
    <n v="701.94"/>
    <n v="1403.88"/>
    <n v="0.05"/>
    <n v="650.98"/>
    <s v="Bank Transfer"/>
    <n v="6"/>
  </r>
  <r>
    <s v="ORD-1120"/>
    <s v="2025-11-15"/>
    <x v="6"/>
    <s v="CUST-257"/>
    <s v="Nicole Wright"/>
    <x v="0"/>
    <x v="0"/>
    <x v="1"/>
    <x v="11"/>
    <n v="10"/>
    <n v="286.87"/>
    <n v="2868.7"/>
    <n v="0.15"/>
    <n v="516.79"/>
    <s v="Bank Transfer"/>
    <n v="5"/>
  </r>
  <r>
    <s v="ORD-1121"/>
    <s v="2025-06-29"/>
    <x v="2"/>
    <s v="CUST-101"/>
    <s v="John Jackson"/>
    <x v="1"/>
    <x v="2"/>
    <x v="1"/>
    <x v="15"/>
    <n v="5"/>
    <n v="849.18"/>
    <n v="4245.8999999999996"/>
    <n v="0.1"/>
    <n v="693.13"/>
    <s v="Bank Transfer"/>
    <n v="7"/>
  </r>
  <r>
    <s v="ORD-1122"/>
    <s v="2025-08-03"/>
    <x v="8"/>
    <s v="CUST-216"/>
    <s v="Leslie Cook"/>
    <x v="2"/>
    <x v="2"/>
    <x v="1"/>
    <x v="15"/>
    <n v="1"/>
    <n v="128.27000000000001"/>
    <n v="128.27000000000001"/>
    <n v="0.2"/>
    <n v="47.61"/>
    <s v="PayPal"/>
    <n v="5"/>
  </r>
  <r>
    <s v="ORD-1123"/>
    <s v="2025-11-13"/>
    <x v="6"/>
    <s v="CUST-112"/>
    <s v="Anita Ross"/>
    <x v="0"/>
    <x v="0"/>
    <x v="0"/>
    <x v="2"/>
    <n v="10"/>
    <n v="723.54"/>
    <n v="7235.4"/>
    <n v="0"/>
    <n v="3529.2"/>
    <s v="PayPal"/>
    <n v="8"/>
  </r>
  <r>
    <s v="ORD-1124"/>
    <s v="2025-09-20"/>
    <x v="11"/>
    <s v="CUST-129"/>
    <s v="Edward Barker"/>
    <x v="2"/>
    <x v="1"/>
    <x v="0"/>
    <x v="7"/>
    <n v="8"/>
    <n v="736.35"/>
    <n v="5890.8"/>
    <n v="0.15"/>
    <n v="2206.83"/>
    <s v="Card"/>
    <n v="5"/>
  </r>
  <r>
    <s v="ORD-1125"/>
    <s v="2025-07-22"/>
    <x v="10"/>
    <s v="CUST-253"/>
    <s v="Danielle Flores"/>
    <x v="1"/>
    <x v="0"/>
    <x v="0"/>
    <x v="5"/>
    <n v="8"/>
    <n v="641.78"/>
    <n v="5134.24"/>
    <n v="0.1"/>
    <n v="2457.5"/>
    <s v="Card"/>
    <n v="5"/>
  </r>
  <r>
    <s v="ORD-1126"/>
    <s v="2025-08-09"/>
    <x v="8"/>
    <s v="CUST-144"/>
    <s v="Jessica Hebert"/>
    <x v="1"/>
    <x v="1"/>
    <x v="1"/>
    <x v="15"/>
    <n v="5"/>
    <n v="361.55"/>
    <n v="1807.75"/>
    <n v="0"/>
    <n v="988.67"/>
    <s v="Bank Transfer"/>
    <n v="4"/>
  </r>
  <r>
    <s v="ORD-1127"/>
    <s v="2025-01-10"/>
    <x v="3"/>
    <s v="CUST-217"/>
    <s v="Tony Howell"/>
    <x v="1"/>
    <x v="3"/>
    <x v="0"/>
    <x v="5"/>
    <n v="6"/>
    <n v="105.05"/>
    <n v="630.29999999999995"/>
    <n v="0.3"/>
    <n v="235.2"/>
    <s v="Bank Transfer"/>
    <n v="7"/>
  </r>
  <r>
    <s v="ORD-1128"/>
    <s v="2025-06-16"/>
    <x v="2"/>
    <s v="CUST-143"/>
    <s v="Ashley Carlson"/>
    <x v="0"/>
    <x v="1"/>
    <x v="0"/>
    <x v="7"/>
    <n v="7"/>
    <n v="361.63"/>
    <n v="2531.41"/>
    <n v="0.15"/>
    <n v="1165.48"/>
    <s v="Bank Transfer"/>
    <n v="6"/>
  </r>
  <r>
    <s v="ORD-1129"/>
    <s v="2025-02-10"/>
    <x v="0"/>
    <s v="CUST-201"/>
    <s v="Joshua Sims"/>
    <x v="2"/>
    <x v="3"/>
    <x v="1"/>
    <x v="3"/>
    <n v="2"/>
    <n v="307.11"/>
    <n v="614.22"/>
    <n v="0.2"/>
    <n v="191.55"/>
    <s v="Card"/>
    <n v="6"/>
  </r>
  <r>
    <s v="ORD-1130"/>
    <s v="2025-06-28"/>
    <x v="2"/>
    <s v="CUST-189"/>
    <s v="Mrs. Casey Smith"/>
    <x v="0"/>
    <x v="2"/>
    <x v="1"/>
    <x v="1"/>
    <n v="9"/>
    <n v="767.21"/>
    <n v="6904.89"/>
    <n v="0.2"/>
    <n v="1911.38"/>
    <s v="Card"/>
    <n v="2"/>
  </r>
  <r>
    <s v="ORD-1131"/>
    <s v="2025-12-02"/>
    <x v="4"/>
    <s v="CUST-119"/>
    <s v="Sarah Rodriguez"/>
    <x v="1"/>
    <x v="1"/>
    <x v="1"/>
    <x v="11"/>
    <n v="4"/>
    <n v="224.73"/>
    <n v="898.92"/>
    <n v="0.05"/>
    <n v="210"/>
    <s v="PayPal"/>
    <n v="10"/>
  </r>
  <r>
    <s v="ORD-1132"/>
    <s v="2025-11-18"/>
    <x v="6"/>
    <s v="CUST-180"/>
    <s v="Rebecca Leblanc"/>
    <x v="1"/>
    <x v="1"/>
    <x v="0"/>
    <x v="7"/>
    <n v="10"/>
    <n v="778.73"/>
    <n v="7787.3"/>
    <n v="0.2"/>
    <n v="2621"/>
    <s v="Card"/>
    <n v="8"/>
  </r>
  <r>
    <s v="ORD-1133"/>
    <s v="2025-06-08"/>
    <x v="2"/>
    <s v="CUST-218"/>
    <s v="Christopher Figueroa"/>
    <x v="2"/>
    <x v="0"/>
    <x v="2"/>
    <x v="8"/>
    <n v="5"/>
    <n v="717.88"/>
    <n v="3589.4"/>
    <n v="0.1"/>
    <n v="1121.18"/>
    <s v="Card"/>
    <n v="6"/>
  </r>
  <r>
    <s v="ORD-1134"/>
    <s v="2025-10-25"/>
    <x v="1"/>
    <s v="CUST-241"/>
    <s v="Danielle Sanchez"/>
    <x v="0"/>
    <x v="0"/>
    <x v="2"/>
    <x v="6"/>
    <n v="2"/>
    <n v="745.71"/>
    <n v="1491.42"/>
    <n v="0.2"/>
    <n v="472.73"/>
    <s v="PayPal"/>
    <n v="10"/>
  </r>
  <r>
    <s v="ORD-1135"/>
    <s v="2025-02-01"/>
    <x v="0"/>
    <s v="CUST-215"/>
    <s v="Tina Johnson"/>
    <x v="1"/>
    <x v="3"/>
    <x v="0"/>
    <x v="10"/>
    <n v="6"/>
    <n v="733.91"/>
    <n v="4403.46"/>
    <n v="0.2"/>
    <n v="1724.94"/>
    <s v="Bank Transfer"/>
    <n v="2"/>
  </r>
  <r>
    <s v="ORD-1136"/>
    <s v="2025-09-26"/>
    <x v="11"/>
    <s v="CUST-233"/>
    <s v="Tracie Ball"/>
    <x v="0"/>
    <x v="2"/>
    <x v="0"/>
    <x v="10"/>
    <n v="1"/>
    <n v="312.33999999999997"/>
    <n v="312.33999999999997"/>
    <n v="0.15"/>
    <n v="40.78"/>
    <s v="PayPal"/>
    <n v="6"/>
  </r>
  <r>
    <s v="ORD-1137"/>
    <s v="2025-11-20"/>
    <x v="6"/>
    <s v="CUST-265"/>
    <s v="Stephanie Barr"/>
    <x v="2"/>
    <x v="0"/>
    <x v="2"/>
    <x v="13"/>
    <n v="7"/>
    <n v="933.87"/>
    <n v="6537.09"/>
    <n v="0.3"/>
    <n v="1422.42"/>
    <s v="PayPal"/>
    <n v="2"/>
  </r>
  <r>
    <s v="ORD-1138"/>
    <s v="2025-11-05"/>
    <x v="6"/>
    <s v="CUST-138"/>
    <s v="Dr. Amy Nelson"/>
    <x v="2"/>
    <x v="0"/>
    <x v="0"/>
    <x v="7"/>
    <n v="5"/>
    <n v="317.36"/>
    <n v="1586.8"/>
    <n v="0.3"/>
    <n v="182.43"/>
    <s v="Bank Transfer"/>
    <n v="3"/>
  </r>
  <r>
    <s v="ORD-1139"/>
    <s v="2025-06-08"/>
    <x v="2"/>
    <s v="CUST-243"/>
    <s v="Matthew Khan"/>
    <x v="2"/>
    <x v="3"/>
    <x v="2"/>
    <x v="8"/>
    <n v="7"/>
    <n v="172.16"/>
    <n v="1205.1199999999999"/>
    <n v="0.3"/>
    <n v="147.46"/>
    <s v="Card"/>
    <n v="9"/>
  </r>
  <r>
    <s v="ORD-1140"/>
    <s v="2025-04-03"/>
    <x v="9"/>
    <s v="CUST-154"/>
    <s v="Brian Lynn"/>
    <x v="2"/>
    <x v="1"/>
    <x v="1"/>
    <x v="4"/>
    <n v="7"/>
    <n v="620.02"/>
    <n v="4340.1400000000003"/>
    <n v="0"/>
    <n v="1757.59"/>
    <s v="Card"/>
    <n v="4"/>
  </r>
  <r>
    <s v="ORD-1141"/>
    <s v="2025-10-04"/>
    <x v="1"/>
    <s v="CUST-289"/>
    <s v="Charles Sanchez"/>
    <x v="0"/>
    <x v="0"/>
    <x v="1"/>
    <x v="15"/>
    <n v="2"/>
    <n v="369.03"/>
    <n v="738.06"/>
    <n v="0"/>
    <n v="256.05"/>
    <s v="Bank Transfer"/>
    <n v="6"/>
  </r>
  <r>
    <s v="ORD-1142"/>
    <s v="2025-12-21"/>
    <x v="4"/>
    <s v="CUST-297"/>
    <s v="William Shaw"/>
    <x v="0"/>
    <x v="2"/>
    <x v="0"/>
    <x v="10"/>
    <n v="10"/>
    <n v="464.53"/>
    <n v="4645.3"/>
    <n v="0.05"/>
    <n v="2107.94"/>
    <s v="Bank Transfer"/>
    <n v="8"/>
  </r>
  <r>
    <s v="ORD-1143"/>
    <s v="2025-11-09"/>
    <x v="6"/>
    <s v="CUST-172"/>
    <s v="Carolyn Olson"/>
    <x v="0"/>
    <x v="1"/>
    <x v="1"/>
    <x v="3"/>
    <n v="6"/>
    <n v="818.11"/>
    <n v="4908.66"/>
    <n v="0.05"/>
    <n v="756.21"/>
    <s v="Card"/>
    <n v="9"/>
  </r>
  <r>
    <s v="ORD-1144"/>
    <s v="2025-10-20"/>
    <x v="1"/>
    <s v="CUST-212"/>
    <s v="Barbara Garcia"/>
    <x v="2"/>
    <x v="3"/>
    <x v="1"/>
    <x v="11"/>
    <n v="8"/>
    <n v="1086.69"/>
    <n v="8693.52"/>
    <n v="0.05"/>
    <n v="3327.19"/>
    <s v="PayPal"/>
    <n v="9"/>
  </r>
  <r>
    <s v="ORD-1145"/>
    <s v="2025-05-09"/>
    <x v="7"/>
    <s v="CUST-113"/>
    <s v="William Roman"/>
    <x v="0"/>
    <x v="1"/>
    <x v="0"/>
    <x v="7"/>
    <n v="3"/>
    <n v="983.93"/>
    <n v="2951.79"/>
    <n v="0.2"/>
    <n v="1168.06"/>
    <s v="PayPal"/>
    <n v="9"/>
  </r>
  <r>
    <s v="ORD-1146"/>
    <s v="2025-03-24"/>
    <x v="5"/>
    <s v="CUST-169"/>
    <s v="Theresa Schneider"/>
    <x v="2"/>
    <x v="2"/>
    <x v="1"/>
    <x v="4"/>
    <n v="9"/>
    <n v="1024.3800000000001"/>
    <n v="9219.42"/>
    <n v="0.1"/>
    <n v="4285.2299999999996"/>
    <s v="PayPal"/>
    <n v="2"/>
  </r>
  <r>
    <s v="ORD-1147"/>
    <s v="2025-09-15"/>
    <x v="11"/>
    <s v="CUST-195"/>
    <s v="Molly Allen"/>
    <x v="1"/>
    <x v="1"/>
    <x v="1"/>
    <x v="3"/>
    <n v="6"/>
    <n v="1117.96"/>
    <n v="6707.76"/>
    <n v="0.15"/>
    <n v="3014.42"/>
    <s v="Card"/>
    <n v="6"/>
  </r>
  <r>
    <s v="ORD-1148"/>
    <s v="2025-03-16"/>
    <x v="5"/>
    <s v="CUST-135"/>
    <s v="David Stewart"/>
    <x v="1"/>
    <x v="3"/>
    <x v="1"/>
    <x v="1"/>
    <n v="6"/>
    <n v="1118.3699999999999"/>
    <n v="6710.22"/>
    <n v="0.3"/>
    <n v="1362.25"/>
    <s v="PayPal"/>
    <n v="3"/>
  </r>
  <r>
    <s v="ORD-1149"/>
    <s v="2025-04-21"/>
    <x v="9"/>
    <s v="CUST-138"/>
    <s v="Jessica Kelly"/>
    <x v="0"/>
    <x v="1"/>
    <x v="0"/>
    <x v="7"/>
    <n v="8"/>
    <n v="746.11"/>
    <n v="5968.88"/>
    <n v="0"/>
    <n v="3237.51"/>
    <s v="Card"/>
    <n v="5"/>
  </r>
  <r>
    <s v="ORD-1150"/>
    <s v="2025-11-15"/>
    <x v="6"/>
    <s v="CUST-217"/>
    <s v="Mary Sanchez MD"/>
    <x v="1"/>
    <x v="0"/>
    <x v="1"/>
    <x v="11"/>
    <n v="2"/>
    <n v="76.34"/>
    <n v="152.68"/>
    <n v="0.15"/>
    <n v="38.21"/>
    <s v="PayPal"/>
    <n v="10"/>
  </r>
  <r>
    <s v="ORD-1151"/>
    <s v="2025-08-08"/>
    <x v="8"/>
    <s v="CUST-100"/>
    <s v="Brenda Davis"/>
    <x v="0"/>
    <x v="3"/>
    <x v="0"/>
    <x v="0"/>
    <n v="9"/>
    <n v="698.56"/>
    <n v="6287.04"/>
    <n v="0.3"/>
    <n v="2167.7600000000002"/>
    <s v="Card"/>
    <n v="10"/>
  </r>
  <r>
    <s v="ORD-1152"/>
    <s v="2025-09-27"/>
    <x v="11"/>
    <s v="CUST-239"/>
    <s v="Edward Anderson"/>
    <x v="0"/>
    <x v="0"/>
    <x v="2"/>
    <x v="12"/>
    <n v="2"/>
    <n v="637.71"/>
    <n v="1275.42"/>
    <n v="0.1"/>
    <n v="600.26"/>
    <s v="PayPal"/>
    <n v="8"/>
  </r>
  <r>
    <s v="ORD-1153"/>
    <s v="2025-07-02"/>
    <x v="10"/>
    <s v="CUST-117"/>
    <s v="Donald Murray"/>
    <x v="2"/>
    <x v="2"/>
    <x v="1"/>
    <x v="4"/>
    <n v="7"/>
    <n v="1177.6300000000001"/>
    <n v="8243.41"/>
    <n v="0.1"/>
    <n v="1862.73"/>
    <s v="Bank Transfer"/>
    <n v="2"/>
  </r>
  <r>
    <s v="ORD-1154"/>
    <s v="2025-11-26"/>
    <x v="6"/>
    <s v="CUST-144"/>
    <s v="Kimberly Ball"/>
    <x v="0"/>
    <x v="1"/>
    <x v="0"/>
    <x v="2"/>
    <n v="3"/>
    <n v="72.319999999999993"/>
    <n v="216.96"/>
    <n v="0.2"/>
    <n v="71.959999999999994"/>
    <s v="Bank Transfer"/>
    <n v="8"/>
  </r>
  <r>
    <s v="ORD-1155"/>
    <s v="2025-04-14"/>
    <x v="9"/>
    <s v="CUST-111"/>
    <s v="Shane Garcia"/>
    <x v="1"/>
    <x v="0"/>
    <x v="0"/>
    <x v="10"/>
    <n v="3"/>
    <n v="94.46"/>
    <n v="283.38"/>
    <n v="0.15"/>
    <n v="128.91999999999999"/>
    <s v="PayPal"/>
    <n v="5"/>
  </r>
  <r>
    <s v="ORD-1156"/>
    <s v="2025-04-08"/>
    <x v="9"/>
    <s v="CUST-173"/>
    <s v="Mary Mann"/>
    <x v="2"/>
    <x v="0"/>
    <x v="0"/>
    <x v="7"/>
    <n v="9"/>
    <n v="578.61"/>
    <n v="5207.49"/>
    <n v="0"/>
    <n v="1295.02"/>
    <s v="Bank Transfer"/>
    <n v="6"/>
  </r>
  <r>
    <s v="ORD-1157"/>
    <s v="2025-07-17"/>
    <x v="10"/>
    <s v="CUST-186"/>
    <s v="Clayton Jones"/>
    <x v="1"/>
    <x v="1"/>
    <x v="2"/>
    <x v="6"/>
    <n v="6"/>
    <n v="535.6"/>
    <n v="3213.6"/>
    <n v="0.15"/>
    <n v="690.2"/>
    <s v="Bank Transfer"/>
    <n v="8"/>
  </r>
  <r>
    <s v="ORD-1158"/>
    <s v="2025-08-09"/>
    <x v="8"/>
    <s v="CUST-254"/>
    <s v="Dana Buchanan"/>
    <x v="1"/>
    <x v="3"/>
    <x v="2"/>
    <x v="14"/>
    <n v="5"/>
    <n v="965.35"/>
    <n v="4826.75"/>
    <n v="0.3"/>
    <n v="1284.5899999999999"/>
    <s v="PayPal"/>
    <n v="2"/>
  </r>
  <r>
    <s v="ORD-1159"/>
    <s v="2025-03-27"/>
    <x v="5"/>
    <s v="CUST-276"/>
    <s v="Rachel Nunez"/>
    <x v="2"/>
    <x v="3"/>
    <x v="1"/>
    <x v="11"/>
    <n v="5"/>
    <n v="381.67"/>
    <n v="1908.35"/>
    <n v="0.2"/>
    <n v="401.42"/>
    <s v="PayPal"/>
    <n v="1"/>
  </r>
  <r>
    <s v="ORD-1160"/>
    <s v="2025-01-30"/>
    <x v="3"/>
    <s v="CUST-119"/>
    <s v="Shelly Morrison"/>
    <x v="0"/>
    <x v="1"/>
    <x v="0"/>
    <x v="2"/>
    <n v="10"/>
    <n v="1197.82"/>
    <n v="11978.2"/>
    <n v="0.1"/>
    <n v="3171.72"/>
    <s v="PayPal"/>
    <n v="9"/>
  </r>
  <r>
    <s v="ORD-1161"/>
    <s v="2025-08-13"/>
    <x v="8"/>
    <s v="CUST-108"/>
    <s v="Renee Price"/>
    <x v="1"/>
    <x v="0"/>
    <x v="0"/>
    <x v="10"/>
    <n v="1"/>
    <n v="188.48"/>
    <n v="188.48"/>
    <n v="0.2"/>
    <n v="42.03"/>
    <s v="Card"/>
    <n v="6"/>
  </r>
  <r>
    <s v="ORD-1162"/>
    <s v="2025-07-09"/>
    <x v="10"/>
    <s v="CUST-195"/>
    <s v="Sean Franklin"/>
    <x v="2"/>
    <x v="0"/>
    <x v="2"/>
    <x v="13"/>
    <n v="10"/>
    <n v="58.21"/>
    <n v="582.1"/>
    <n v="0.05"/>
    <n v="153.94"/>
    <s v="Bank Transfer"/>
    <n v="3"/>
  </r>
  <r>
    <s v="ORD-1163"/>
    <s v="2025-02-28"/>
    <x v="0"/>
    <s v="CUST-106"/>
    <s v="Michael Thompson"/>
    <x v="0"/>
    <x v="2"/>
    <x v="0"/>
    <x v="2"/>
    <n v="7"/>
    <n v="390.97"/>
    <n v="2736.79"/>
    <n v="0.1"/>
    <n v="1108.78"/>
    <s v="PayPal"/>
    <n v="9"/>
  </r>
  <r>
    <s v="ORD-1164"/>
    <s v="2025-04-20"/>
    <x v="9"/>
    <s v="CUST-256"/>
    <s v="Connor Odom"/>
    <x v="2"/>
    <x v="1"/>
    <x v="2"/>
    <x v="14"/>
    <n v="2"/>
    <n v="328.9"/>
    <n v="657.8"/>
    <n v="0.1"/>
    <n v="158.88999999999999"/>
    <s v="Card"/>
    <n v="2"/>
  </r>
  <r>
    <s v="ORD-1165"/>
    <s v="2025-02-14"/>
    <x v="0"/>
    <s v="CUST-274"/>
    <s v="Kelly Dickson PhD"/>
    <x v="2"/>
    <x v="3"/>
    <x v="1"/>
    <x v="1"/>
    <n v="8"/>
    <n v="223.73"/>
    <n v="1789.84"/>
    <n v="0.3"/>
    <n v="466.02"/>
    <s v="Bank Transfer"/>
    <n v="2"/>
  </r>
  <r>
    <s v="ORD-1166"/>
    <s v="2025-12-25"/>
    <x v="4"/>
    <s v="CUST-263"/>
    <s v="Eric Mitchell"/>
    <x v="1"/>
    <x v="3"/>
    <x v="0"/>
    <x v="5"/>
    <n v="5"/>
    <n v="1071.77"/>
    <n v="5358.85"/>
    <n v="0.05"/>
    <n v="1350.5"/>
    <s v="Bank Transfer"/>
    <n v="4"/>
  </r>
  <r>
    <s v="ORD-1167"/>
    <s v="2025-10-11"/>
    <x v="1"/>
    <s v="CUST-246"/>
    <s v="Robin Salazar"/>
    <x v="2"/>
    <x v="1"/>
    <x v="1"/>
    <x v="15"/>
    <n v="3"/>
    <n v="299.35000000000002"/>
    <n v="898.05"/>
    <n v="0.15"/>
    <n v="411.81"/>
    <s v="Bank Transfer"/>
    <n v="3"/>
  </r>
  <r>
    <s v="ORD-1168"/>
    <s v="2025-09-27"/>
    <x v="11"/>
    <s v="CUST-205"/>
    <s v="Victor Ellis"/>
    <x v="2"/>
    <x v="0"/>
    <x v="0"/>
    <x v="0"/>
    <n v="2"/>
    <n v="384.96"/>
    <n v="769.92"/>
    <n v="0.3"/>
    <n v="141.44999999999999"/>
    <s v="Card"/>
    <n v="6"/>
  </r>
  <r>
    <s v="ORD-1169"/>
    <s v="2025-10-10"/>
    <x v="1"/>
    <s v="CUST-263"/>
    <s v="Heather Baldwin"/>
    <x v="0"/>
    <x v="2"/>
    <x v="0"/>
    <x v="0"/>
    <n v="8"/>
    <n v="569.67999999999995"/>
    <n v="4557.4399999999996"/>
    <n v="0.2"/>
    <n v="1502.84"/>
    <s v="Card"/>
    <n v="7"/>
  </r>
  <r>
    <s v="ORD-1170"/>
    <s v="2025-06-15"/>
    <x v="2"/>
    <s v="CUST-281"/>
    <s v="Susan Moreno"/>
    <x v="1"/>
    <x v="3"/>
    <x v="0"/>
    <x v="0"/>
    <n v="2"/>
    <n v="631.36"/>
    <n v="1262.72"/>
    <n v="0.1"/>
    <n v="550.20000000000005"/>
    <s v="Bank Transfer"/>
    <n v="5"/>
  </r>
  <r>
    <s v="ORD-1171"/>
    <s v="2025-11-17"/>
    <x v="6"/>
    <s v="CUST-177"/>
    <s v="Kevin Morales"/>
    <x v="0"/>
    <x v="0"/>
    <x v="1"/>
    <x v="11"/>
    <n v="4"/>
    <n v="769.37"/>
    <n v="3077.48"/>
    <n v="0.2"/>
    <n v="1083.81"/>
    <s v="Bank Transfer"/>
    <n v="3"/>
  </r>
  <r>
    <s v="ORD-1172"/>
    <s v="2025-11-06"/>
    <x v="6"/>
    <s v="CUST-186"/>
    <s v="Sherry Thomas"/>
    <x v="0"/>
    <x v="0"/>
    <x v="0"/>
    <x v="5"/>
    <n v="3"/>
    <n v="222.02"/>
    <n v="666.06"/>
    <n v="0.2"/>
    <n v="139.47"/>
    <s v="Card"/>
    <n v="2"/>
  </r>
  <r>
    <s v="ORD-1173"/>
    <s v="2025-08-02"/>
    <x v="8"/>
    <s v="CUST-258"/>
    <s v="Michael Dickerson"/>
    <x v="0"/>
    <x v="0"/>
    <x v="1"/>
    <x v="4"/>
    <n v="10"/>
    <n v="332.29"/>
    <n v="3322.9"/>
    <n v="0.05"/>
    <n v="767.77"/>
    <s v="PayPal"/>
    <n v="9"/>
  </r>
  <r>
    <s v="ORD-1174"/>
    <s v="2025-08-21"/>
    <x v="8"/>
    <s v="CUST-118"/>
    <s v="Tracy Sanders"/>
    <x v="0"/>
    <x v="0"/>
    <x v="2"/>
    <x v="8"/>
    <n v="8"/>
    <n v="308.95999999999998"/>
    <n v="2471.6799999999998"/>
    <n v="0.3"/>
    <n v="670.55"/>
    <s v="Card"/>
    <n v="8"/>
  </r>
  <r>
    <s v="ORD-1175"/>
    <s v="2025-06-13"/>
    <x v="2"/>
    <s v="CUST-287"/>
    <s v="David Norman"/>
    <x v="2"/>
    <x v="1"/>
    <x v="2"/>
    <x v="13"/>
    <n v="8"/>
    <n v="260.75"/>
    <n v="2086"/>
    <n v="0.2"/>
    <n v="821.94"/>
    <s v="Card"/>
    <n v="6"/>
  </r>
  <r>
    <s v="ORD-1176"/>
    <s v="2025-08-19"/>
    <x v="8"/>
    <s v="CUST-163"/>
    <s v="Patricia Sanders"/>
    <x v="1"/>
    <x v="0"/>
    <x v="0"/>
    <x v="5"/>
    <n v="2"/>
    <n v="396.56"/>
    <n v="793.12"/>
    <n v="0.15"/>
    <n v="337.74"/>
    <s v="Card"/>
    <n v="5"/>
  </r>
  <r>
    <s v="ORD-1177"/>
    <s v="2025-10-23"/>
    <x v="1"/>
    <s v="CUST-284"/>
    <s v="Isaac Gray"/>
    <x v="2"/>
    <x v="2"/>
    <x v="2"/>
    <x v="14"/>
    <n v="7"/>
    <n v="312.95999999999998"/>
    <n v="2190.7199999999998"/>
    <n v="0.05"/>
    <n v="467.45"/>
    <s v="Card"/>
    <n v="8"/>
  </r>
  <r>
    <s v="ORD-1178"/>
    <s v="2025-07-21"/>
    <x v="10"/>
    <s v="CUST-229"/>
    <s v="Jack White"/>
    <x v="2"/>
    <x v="2"/>
    <x v="0"/>
    <x v="7"/>
    <n v="8"/>
    <n v="1057.31"/>
    <n v="8458.48"/>
    <n v="0.15"/>
    <n v="3887.69"/>
    <s v="Card"/>
    <n v="10"/>
  </r>
  <r>
    <s v="ORD-1179"/>
    <s v="2025-12-01"/>
    <x v="4"/>
    <s v="CUST-272"/>
    <s v="Stephen Martinez"/>
    <x v="2"/>
    <x v="3"/>
    <x v="2"/>
    <x v="6"/>
    <n v="1"/>
    <n v="352"/>
    <n v="352"/>
    <n v="0.2"/>
    <n v="55.49"/>
    <s v="Bank Transfer"/>
    <n v="1"/>
  </r>
  <r>
    <s v="ORD-1180"/>
    <s v="2025-07-26"/>
    <x v="10"/>
    <s v="CUST-193"/>
    <s v="Tracy Pitts"/>
    <x v="1"/>
    <x v="1"/>
    <x v="1"/>
    <x v="3"/>
    <n v="3"/>
    <n v="1061.3"/>
    <n v="3183.9"/>
    <n v="0.3"/>
    <n v="899.71"/>
    <s v="Card"/>
    <n v="10"/>
  </r>
  <r>
    <s v="ORD-1181"/>
    <s v="2025-08-19"/>
    <x v="8"/>
    <s v="CUST-295"/>
    <s v="Carolyn Hampton"/>
    <x v="0"/>
    <x v="3"/>
    <x v="0"/>
    <x v="10"/>
    <n v="6"/>
    <n v="672.8"/>
    <n v="4036.8"/>
    <n v="0"/>
    <n v="1596.39"/>
    <s v="Bank Transfer"/>
    <n v="10"/>
  </r>
  <r>
    <s v="ORD-1182"/>
    <s v="2025-07-07"/>
    <x v="10"/>
    <s v="CUST-293"/>
    <s v="Shannon Keith"/>
    <x v="1"/>
    <x v="2"/>
    <x v="1"/>
    <x v="15"/>
    <n v="2"/>
    <n v="484.81"/>
    <n v="969.62"/>
    <n v="0.1"/>
    <n v="285.24"/>
    <s v="Bank Transfer"/>
    <n v="9"/>
  </r>
  <r>
    <s v="ORD-1183"/>
    <s v="2025-08-31"/>
    <x v="8"/>
    <s v="CUST-232"/>
    <s v="Harry Hoffman"/>
    <x v="2"/>
    <x v="2"/>
    <x v="2"/>
    <x v="14"/>
    <n v="1"/>
    <n v="73.459999999999994"/>
    <n v="73.459999999999994"/>
    <n v="0.05"/>
    <n v="18.46"/>
    <s v="Bank Transfer"/>
    <n v="9"/>
  </r>
  <r>
    <s v="ORD-1184"/>
    <s v="2025-06-03"/>
    <x v="2"/>
    <s v="CUST-251"/>
    <s v="Amanda Gonzales"/>
    <x v="2"/>
    <x v="1"/>
    <x v="1"/>
    <x v="11"/>
    <n v="10"/>
    <n v="395.87"/>
    <n v="3958.7"/>
    <n v="0.15"/>
    <n v="517.37"/>
    <s v="Bank Transfer"/>
    <n v="10"/>
  </r>
  <r>
    <s v="ORD-1185"/>
    <s v="2025-08-02"/>
    <x v="8"/>
    <s v="CUST-249"/>
    <s v="Christy Rodriguez"/>
    <x v="2"/>
    <x v="0"/>
    <x v="2"/>
    <x v="13"/>
    <n v="1"/>
    <n v="454.66"/>
    <n v="454.66"/>
    <n v="0.3"/>
    <n v="161.09"/>
    <s v="Bank Transfer"/>
    <n v="8"/>
  </r>
  <r>
    <s v="ORD-1186"/>
    <s v="2025-03-29"/>
    <x v="5"/>
    <s v="CUST-234"/>
    <s v="Jessica Hernandez"/>
    <x v="0"/>
    <x v="1"/>
    <x v="2"/>
    <x v="14"/>
    <n v="10"/>
    <n v="288.5"/>
    <n v="2885"/>
    <n v="0"/>
    <n v="913.36"/>
    <s v="Card"/>
    <n v="4"/>
  </r>
  <r>
    <s v="ORD-1187"/>
    <s v="2025-03-19"/>
    <x v="5"/>
    <s v="CUST-205"/>
    <s v="Ronnie Phillips"/>
    <x v="0"/>
    <x v="2"/>
    <x v="1"/>
    <x v="9"/>
    <n v="2"/>
    <n v="245.13"/>
    <n v="490.26"/>
    <n v="0.15"/>
    <n v="176.91"/>
    <s v="PayPal"/>
    <n v="9"/>
  </r>
  <r>
    <s v="ORD-1188"/>
    <s v="2025-06-16"/>
    <x v="2"/>
    <s v="CUST-269"/>
    <s v="Lori Mahoney"/>
    <x v="2"/>
    <x v="1"/>
    <x v="0"/>
    <x v="7"/>
    <n v="1"/>
    <n v="852.81"/>
    <n v="852.81"/>
    <n v="0.2"/>
    <n v="318.64999999999998"/>
    <s v="PayPal"/>
    <n v="3"/>
  </r>
  <r>
    <s v="ORD-1189"/>
    <s v="2025-12-15"/>
    <x v="4"/>
    <s v="CUST-264"/>
    <s v="Zachary Smith"/>
    <x v="0"/>
    <x v="3"/>
    <x v="2"/>
    <x v="14"/>
    <n v="6"/>
    <n v="664.6"/>
    <n v="3987.6"/>
    <n v="0.3"/>
    <n v="673.28"/>
    <s v="Bank Transfer"/>
    <n v="8"/>
  </r>
  <r>
    <s v="ORD-1190"/>
    <s v="2025-06-02"/>
    <x v="2"/>
    <s v="CUST-297"/>
    <s v="Colleen Patterson"/>
    <x v="2"/>
    <x v="2"/>
    <x v="1"/>
    <x v="15"/>
    <n v="5"/>
    <n v="678.54"/>
    <n v="3392.7"/>
    <n v="0.05"/>
    <n v="558.9"/>
    <s v="Bank Transfer"/>
    <n v="8"/>
  </r>
  <r>
    <s v="ORD-1191"/>
    <s v="2025-03-04"/>
    <x v="5"/>
    <s v="CUST-246"/>
    <s v="Phillip Davis"/>
    <x v="0"/>
    <x v="1"/>
    <x v="2"/>
    <x v="13"/>
    <n v="6"/>
    <n v="681.38"/>
    <n v="4088.28"/>
    <n v="0.3"/>
    <n v="1260.96"/>
    <s v="PayPal"/>
    <n v="6"/>
  </r>
  <r>
    <s v="ORD-1192"/>
    <s v="2025-08-15"/>
    <x v="8"/>
    <s v="CUST-267"/>
    <s v="William Mcgee"/>
    <x v="2"/>
    <x v="1"/>
    <x v="1"/>
    <x v="11"/>
    <n v="1"/>
    <n v="359.4"/>
    <n v="359.4"/>
    <n v="0.3"/>
    <n v="130.41999999999999"/>
    <s v="Card"/>
    <n v="4"/>
  </r>
  <r>
    <s v="ORD-1193"/>
    <s v="2025-10-28"/>
    <x v="1"/>
    <s v="CUST-161"/>
    <s v="Karen Caldwell"/>
    <x v="1"/>
    <x v="0"/>
    <x v="0"/>
    <x v="2"/>
    <n v="9"/>
    <n v="841.48"/>
    <n v="7573.32"/>
    <n v="0.05"/>
    <n v="3642.72"/>
    <s v="Bank Transfer"/>
    <n v="9"/>
  </r>
  <r>
    <s v="ORD-1194"/>
    <s v="2025-08-30"/>
    <x v="8"/>
    <s v="CUST-125"/>
    <s v="Sherri Mcknight"/>
    <x v="0"/>
    <x v="2"/>
    <x v="1"/>
    <x v="4"/>
    <n v="4"/>
    <n v="81.94"/>
    <n v="327.76"/>
    <n v="0.15"/>
    <n v="116.42"/>
    <s v="Card"/>
    <n v="9"/>
  </r>
  <r>
    <s v="ORD-1195"/>
    <s v="2025-05-28"/>
    <x v="7"/>
    <s v="CUST-182"/>
    <s v="Jonathan Green"/>
    <x v="2"/>
    <x v="0"/>
    <x v="1"/>
    <x v="3"/>
    <n v="8"/>
    <n v="583.39"/>
    <n v="4667.12"/>
    <n v="0.05"/>
    <n v="1097.96"/>
    <s v="Card"/>
    <n v="10"/>
  </r>
  <r>
    <s v="ORD-1196"/>
    <s v="2025-04-01"/>
    <x v="9"/>
    <s v="CUST-109"/>
    <s v="Megan Collins"/>
    <x v="2"/>
    <x v="1"/>
    <x v="1"/>
    <x v="9"/>
    <n v="1"/>
    <n v="1097.6099999999999"/>
    <n v="1097.6099999999999"/>
    <n v="0.05"/>
    <n v="399.2"/>
    <s v="Card"/>
    <n v="5"/>
  </r>
  <r>
    <s v="ORD-1197"/>
    <s v="2025-06-21"/>
    <x v="2"/>
    <s v="CUST-172"/>
    <s v="Amy Dyer"/>
    <x v="2"/>
    <x v="1"/>
    <x v="1"/>
    <x v="1"/>
    <n v="5"/>
    <n v="690.2"/>
    <n v="3451"/>
    <n v="0"/>
    <n v="616.41"/>
    <s v="Card"/>
    <n v="9"/>
  </r>
  <r>
    <s v="ORD-1198"/>
    <s v="2025-08-23"/>
    <x v="8"/>
    <s v="CUST-265"/>
    <s v="John Taylor"/>
    <x v="2"/>
    <x v="2"/>
    <x v="2"/>
    <x v="8"/>
    <n v="4"/>
    <n v="974.4"/>
    <n v="3897.6"/>
    <n v="0.1"/>
    <n v="1701.31"/>
    <s v="Card"/>
    <n v="6"/>
  </r>
  <r>
    <s v="ORD-1199"/>
    <s v="2025-08-07"/>
    <x v="8"/>
    <s v="CUST-231"/>
    <s v="Jeffrey Jenkins"/>
    <x v="2"/>
    <x v="0"/>
    <x v="2"/>
    <x v="14"/>
    <n v="4"/>
    <n v="227.08"/>
    <n v="908.32"/>
    <n v="0.3"/>
    <n v="121.56"/>
    <s v="PayPal"/>
    <n v="2"/>
  </r>
  <r>
    <s v="ORD-1200"/>
    <s v="2025-07-16"/>
    <x v="10"/>
    <s v="CUST-160"/>
    <s v="Todd Lopez"/>
    <x v="2"/>
    <x v="3"/>
    <x v="1"/>
    <x v="15"/>
    <n v="8"/>
    <n v="401.85"/>
    <n v="3214.8"/>
    <n v="0.05"/>
    <n v="1671.39"/>
    <s v="PayPal"/>
    <n v="5"/>
  </r>
  <r>
    <s v="ORD-1201"/>
    <s v="2025-02-01"/>
    <x v="0"/>
    <s v="CUST-270"/>
    <s v="Danielle Yoder"/>
    <x v="1"/>
    <x v="1"/>
    <x v="0"/>
    <x v="5"/>
    <n v="1"/>
    <n v="328.63"/>
    <n v="328.63"/>
    <n v="0.1"/>
    <n v="80.709999999999994"/>
    <s v="PayPal"/>
    <n v="3"/>
  </r>
  <r>
    <s v="ORD-1202"/>
    <s v="2025-06-01"/>
    <x v="2"/>
    <s v="CUST-194"/>
    <s v="Ian Barnes"/>
    <x v="0"/>
    <x v="2"/>
    <x v="2"/>
    <x v="14"/>
    <n v="5"/>
    <n v="834.54"/>
    <n v="4172.7"/>
    <n v="0.3"/>
    <n v="536.12"/>
    <s v="Card"/>
    <n v="3"/>
  </r>
  <r>
    <s v="ORD-1203"/>
    <s v="2025-12-26"/>
    <x v="4"/>
    <s v="CUST-240"/>
    <s v="April Arnold"/>
    <x v="2"/>
    <x v="2"/>
    <x v="2"/>
    <x v="12"/>
    <n v="8"/>
    <n v="902.33"/>
    <n v="7218.64"/>
    <n v="0.2"/>
    <n v="2313.14"/>
    <s v="Card"/>
    <n v="10"/>
  </r>
  <r>
    <s v="ORD-1204"/>
    <s v="2025-10-16"/>
    <x v="1"/>
    <s v="CUST-128"/>
    <s v="Thomas Brennan"/>
    <x v="1"/>
    <x v="2"/>
    <x v="1"/>
    <x v="9"/>
    <n v="8"/>
    <n v="643.24"/>
    <n v="5145.92"/>
    <n v="0.1"/>
    <n v="2402.54"/>
    <s v="Bank Transfer"/>
    <n v="9"/>
  </r>
  <r>
    <s v="ORD-1205"/>
    <s v="2025-04-16"/>
    <x v="9"/>
    <s v="CUST-283"/>
    <s v="Christine Jordan"/>
    <x v="0"/>
    <x v="1"/>
    <x v="1"/>
    <x v="15"/>
    <n v="6"/>
    <n v="1028.29"/>
    <n v="6169.74"/>
    <n v="0.15"/>
    <n v="2640.52"/>
    <s v="Card"/>
    <n v="9"/>
  </r>
  <r>
    <s v="ORD-1206"/>
    <s v="2025-01-30"/>
    <x v="3"/>
    <s v="CUST-243"/>
    <s v="Stephanie Clark"/>
    <x v="2"/>
    <x v="3"/>
    <x v="2"/>
    <x v="6"/>
    <n v="8"/>
    <n v="175.69"/>
    <n v="1405.52"/>
    <n v="0.15"/>
    <n v="438.79"/>
    <s v="Bank Transfer"/>
    <n v="1"/>
  </r>
  <r>
    <s v="ORD-1207"/>
    <s v="2025-08-05"/>
    <x v="8"/>
    <s v="CUST-188"/>
    <s v="Ashley Gallegos"/>
    <x v="0"/>
    <x v="0"/>
    <x v="2"/>
    <x v="8"/>
    <n v="1"/>
    <n v="900.05"/>
    <n v="900.05"/>
    <n v="0.2"/>
    <n v="374.99"/>
    <s v="Bank Transfer"/>
    <n v="1"/>
  </r>
  <r>
    <s v="ORD-1208"/>
    <s v="2025-11-25"/>
    <x v="6"/>
    <s v="CUST-286"/>
    <s v="Jill Atkins"/>
    <x v="0"/>
    <x v="1"/>
    <x v="1"/>
    <x v="3"/>
    <n v="1"/>
    <n v="358.77"/>
    <n v="358.77"/>
    <n v="0.05"/>
    <n v="82.62"/>
    <s v="PayPal"/>
    <n v="7"/>
  </r>
  <r>
    <s v="ORD-1209"/>
    <s v="2025-03-10"/>
    <x v="5"/>
    <s v="CUST-267"/>
    <s v="Larry Williams"/>
    <x v="2"/>
    <x v="0"/>
    <x v="2"/>
    <x v="13"/>
    <n v="7"/>
    <n v="114.69"/>
    <n v="802.83"/>
    <n v="0.3"/>
    <n v="112.5"/>
    <s v="Card"/>
    <n v="9"/>
  </r>
  <r>
    <s v="ORD-1210"/>
    <s v="2025-01-12"/>
    <x v="3"/>
    <s v="CUST-176"/>
    <s v="Ronald Stevenson"/>
    <x v="2"/>
    <x v="1"/>
    <x v="2"/>
    <x v="14"/>
    <n v="3"/>
    <n v="878.87"/>
    <n v="2636.61"/>
    <n v="0.05"/>
    <n v="541.21"/>
    <s v="Bank Transfer"/>
    <n v="7"/>
  </r>
  <r>
    <s v="ORD-1211"/>
    <s v="2025-02-27"/>
    <x v="0"/>
    <s v="CUST-108"/>
    <s v="Catherine Mueller"/>
    <x v="0"/>
    <x v="1"/>
    <x v="1"/>
    <x v="15"/>
    <n v="8"/>
    <n v="428.47"/>
    <n v="3427.76"/>
    <n v="0.1"/>
    <n v="1464.16"/>
    <s v="Bank Transfer"/>
    <n v="1"/>
  </r>
  <r>
    <s v="ORD-1212"/>
    <s v="2025-12-11"/>
    <x v="4"/>
    <s v="CUST-280"/>
    <s v="Jason Huynh"/>
    <x v="1"/>
    <x v="2"/>
    <x v="1"/>
    <x v="15"/>
    <n v="2"/>
    <n v="139.06"/>
    <n v="278.12"/>
    <n v="0"/>
    <n v="103.3"/>
    <s v="Bank Transfer"/>
    <n v="1"/>
  </r>
  <r>
    <s v="ORD-1213"/>
    <s v="2025-05-29"/>
    <x v="7"/>
    <s v="CUST-159"/>
    <s v="Kristi Levy"/>
    <x v="0"/>
    <x v="3"/>
    <x v="2"/>
    <x v="13"/>
    <n v="4"/>
    <n v="656.92"/>
    <n v="2627.68"/>
    <n v="0"/>
    <n v="1297.93"/>
    <s v="Bank Transfer"/>
    <n v="10"/>
  </r>
  <r>
    <s v="ORD-1214"/>
    <s v="2025-09-24"/>
    <x v="11"/>
    <s v="CUST-156"/>
    <s v="Jordan Mills"/>
    <x v="2"/>
    <x v="3"/>
    <x v="0"/>
    <x v="2"/>
    <n v="4"/>
    <n v="376.08"/>
    <n v="1504.32"/>
    <n v="0.05"/>
    <n v="222.54"/>
    <s v="PayPal"/>
    <n v="1"/>
  </r>
  <r>
    <s v="ORD-1215"/>
    <s v="2025-01-25"/>
    <x v="3"/>
    <s v="CUST-188"/>
    <s v="Dalton Williams"/>
    <x v="0"/>
    <x v="1"/>
    <x v="0"/>
    <x v="5"/>
    <n v="3"/>
    <n v="758.67"/>
    <n v="2276.0100000000002"/>
    <n v="0.15"/>
    <n v="633.89"/>
    <s v="Bank Transfer"/>
    <n v="6"/>
  </r>
  <r>
    <s v="ORD-1216"/>
    <s v="2025-10-03"/>
    <x v="1"/>
    <s v="CUST-221"/>
    <s v="Ryan Mitchell"/>
    <x v="1"/>
    <x v="2"/>
    <x v="0"/>
    <x v="7"/>
    <n v="7"/>
    <n v="196.08"/>
    <n v="1372.56"/>
    <n v="0.15"/>
    <n v="555.86"/>
    <s v="PayPal"/>
    <n v="3"/>
  </r>
  <r>
    <s v="ORD-1217"/>
    <s v="2025-03-10"/>
    <x v="5"/>
    <s v="CUST-199"/>
    <s v="Jonathan Zuniga"/>
    <x v="1"/>
    <x v="3"/>
    <x v="2"/>
    <x v="6"/>
    <n v="9"/>
    <n v="506.96"/>
    <n v="4562.6400000000003"/>
    <n v="0.15"/>
    <n v="1268.52"/>
    <s v="Card"/>
    <n v="6"/>
  </r>
  <r>
    <s v="ORD-1218"/>
    <s v="2025-04-08"/>
    <x v="9"/>
    <s v="CUST-113"/>
    <s v="Leonard Mullins"/>
    <x v="2"/>
    <x v="1"/>
    <x v="0"/>
    <x v="0"/>
    <n v="8"/>
    <n v="1019.62"/>
    <n v="8156.96"/>
    <n v="0"/>
    <n v="2738.66"/>
    <s v="Bank Transfer"/>
    <n v="10"/>
  </r>
  <r>
    <s v="ORD-1219"/>
    <s v="2025-10-14"/>
    <x v="1"/>
    <s v="CUST-155"/>
    <s v="Karen Herrera"/>
    <x v="2"/>
    <x v="2"/>
    <x v="0"/>
    <x v="0"/>
    <n v="2"/>
    <n v="242.03"/>
    <n v="484.06"/>
    <n v="0.2"/>
    <n v="100.79"/>
    <s v="PayPal"/>
    <n v="5"/>
  </r>
  <r>
    <s v="ORD-1220"/>
    <s v="2025-09-03"/>
    <x v="11"/>
    <s v="CUST-162"/>
    <s v="Christian Matthews"/>
    <x v="0"/>
    <x v="2"/>
    <x v="1"/>
    <x v="15"/>
    <n v="4"/>
    <n v="1155.25"/>
    <n v="4621"/>
    <n v="0"/>
    <n v="1161.02"/>
    <s v="PayPal"/>
    <n v="4"/>
  </r>
  <r>
    <s v="ORD-1221"/>
    <s v="2025-06-07"/>
    <x v="2"/>
    <s v="CUST-166"/>
    <s v="Michael Davis"/>
    <x v="2"/>
    <x v="1"/>
    <x v="0"/>
    <x v="2"/>
    <n v="5"/>
    <n v="469.18"/>
    <n v="2345.9"/>
    <n v="0.2"/>
    <n v="545.21"/>
    <s v="PayPal"/>
    <n v="2"/>
  </r>
  <r>
    <s v="ORD-1222"/>
    <s v="2025-01-24"/>
    <x v="3"/>
    <s v="CUST-244"/>
    <s v="Robert Barry"/>
    <x v="1"/>
    <x v="2"/>
    <x v="0"/>
    <x v="7"/>
    <n v="6"/>
    <n v="1098.9100000000001"/>
    <n v="6593.46"/>
    <n v="0.1"/>
    <n v="2521"/>
    <s v="Card"/>
    <n v="5"/>
  </r>
  <r>
    <s v="ORD-1223"/>
    <s v="2025-06-18"/>
    <x v="2"/>
    <s v="CUST-158"/>
    <s v="Billy Cameron"/>
    <x v="2"/>
    <x v="2"/>
    <x v="0"/>
    <x v="5"/>
    <n v="10"/>
    <n v="869.61"/>
    <n v="8696.1"/>
    <n v="0.1"/>
    <n v="3827.43"/>
    <s v="PayPal"/>
    <n v="9"/>
  </r>
  <r>
    <s v="ORD-1224"/>
    <s v="2025-11-25"/>
    <x v="6"/>
    <s v="CUST-289"/>
    <s v="Rachel Peters"/>
    <x v="2"/>
    <x v="1"/>
    <x v="0"/>
    <x v="2"/>
    <n v="5"/>
    <n v="920.77"/>
    <n v="4603.8500000000004"/>
    <n v="0.15"/>
    <n v="639.41999999999996"/>
    <s v="Card"/>
    <n v="6"/>
  </r>
  <r>
    <s v="ORD-1225"/>
    <s v="2025-01-31"/>
    <x v="3"/>
    <s v="CUST-234"/>
    <s v="Christian Harris"/>
    <x v="1"/>
    <x v="0"/>
    <x v="1"/>
    <x v="15"/>
    <n v="9"/>
    <n v="596.21"/>
    <n v="5365.89"/>
    <n v="0.2"/>
    <n v="660.52"/>
    <s v="Bank Transfer"/>
    <n v="1"/>
  </r>
  <r>
    <s v="ORD-1226"/>
    <s v="2025-03-19"/>
    <x v="5"/>
    <s v="CUST-102"/>
    <s v="Janet Gordon"/>
    <x v="1"/>
    <x v="1"/>
    <x v="1"/>
    <x v="3"/>
    <n v="3"/>
    <n v="1014.2"/>
    <n v="3042.6"/>
    <n v="0.05"/>
    <n v="1511.17"/>
    <s v="PayPal"/>
    <n v="1"/>
  </r>
  <r>
    <s v="ORD-1227"/>
    <s v="2025-10-10"/>
    <x v="1"/>
    <s v="CUST-205"/>
    <s v="Joseph Cohen"/>
    <x v="1"/>
    <x v="0"/>
    <x v="0"/>
    <x v="5"/>
    <n v="8"/>
    <n v="797.96"/>
    <n v="6383.68"/>
    <n v="0"/>
    <n v="3494.14"/>
    <s v="Bank Transfer"/>
    <n v="5"/>
  </r>
  <r>
    <s v="ORD-1228"/>
    <s v="2025-04-02"/>
    <x v="9"/>
    <s v="CUST-127"/>
    <s v="Francisco Spencer"/>
    <x v="1"/>
    <x v="2"/>
    <x v="0"/>
    <x v="2"/>
    <n v="1"/>
    <n v="612.61"/>
    <n v="612.61"/>
    <n v="0.3"/>
    <n v="120.24"/>
    <s v="Card"/>
    <n v="4"/>
  </r>
  <r>
    <s v="ORD-1229"/>
    <s v="2025-02-10"/>
    <x v="0"/>
    <s v="CUST-195"/>
    <s v="Jamie Morgan"/>
    <x v="2"/>
    <x v="1"/>
    <x v="0"/>
    <x v="5"/>
    <n v="5"/>
    <n v="981.95"/>
    <n v="4909.75"/>
    <n v="0.1"/>
    <n v="1025.27"/>
    <s v="Bank Transfer"/>
    <n v="4"/>
  </r>
  <r>
    <s v="ORD-1230"/>
    <s v="2025-11-29"/>
    <x v="6"/>
    <s v="CUST-294"/>
    <s v="Christina Garrison"/>
    <x v="1"/>
    <x v="0"/>
    <x v="0"/>
    <x v="10"/>
    <n v="5"/>
    <n v="827.17"/>
    <n v="4135.8500000000004"/>
    <n v="0"/>
    <n v="1193.22"/>
    <s v="PayPal"/>
    <n v="7"/>
  </r>
  <r>
    <s v="ORD-1231"/>
    <s v="2025-02-12"/>
    <x v="0"/>
    <s v="CUST-227"/>
    <s v="Thomas Avila"/>
    <x v="2"/>
    <x v="3"/>
    <x v="2"/>
    <x v="14"/>
    <n v="8"/>
    <n v="86.22"/>
    <n v="689.76"/>
    <n v="0"/>
    <n v="185.45"/>
    <s v="Bank Transfer"/>
    <n v="2"/>
  </r>
  <r>
    <s v="ORD-1232"/>
    <s v="2025-09-01"/>
    <x v="11"/>
    <s v="CUST-169"/>
    <s v="Mary Gutierrez"/>
    <x v="1"/>
    <x v="0"/>
    <x v="0"/>
    <x v="0"/>
    <n v="4"/>
    <n v="269.47000000000003"/>
    <n v="1077.8800000000001"/>
    <n v="0.3"/>
    <n v="147.11000000000001"/>
    <s v="Bank Transfer"/>
    <n v="5"/>
  </r>
  <r>
    <s v="ORD-1233"/>
    <s v="2025-04-17"/>
    <x v="9"/>
    <s v="CUST-250"/>
    <s v="Karen Lee"/>
    <x v="1"/>
    <x v="1"/>
    <x v="0"/>
    <x v="5"/>
    <n v="1"/>
    <n v="231.64"/>
    <n v="231.64"/>
    <n v="0.1"/>
    <n v="113.36"/>
    <s v="Card"/>
    <n v="5"/>
  </r>
  <r>
    <s v="ORD-1234"/>
    <s v="2025-10-04"/>
    <x v="1"/>
    <s v="CUST-184"/>
    <s v="Michelle Baker"/>
    <x v="2"/>
    <x v="2"/>
    <x v="1"/>
    <x v="9"/>
    <n v="4"/>
    <n v="688.7"/>
    <n v="2754.8"/>
    <n v="0.15"/>
    <n v="653.74"/>
    <s v="Bank Transfer"/>
    <n v="2"/>
  </r>
  <r>
    <s v="ORD-1235"/>
    <s v="2025-06-24"/>
    <x v="2"/>
    <s v="CUST-254"/>
    <s v="Douglas Munoz"/>
    <x v="0"/>
    <x v="1"/>
    <x v="0"/>
    <x v="2"/>
    <n v="1"/>
    <n v="135.27000000000001"/>
    <n v="135.27000000000001"/>
    <n v="0.05"/>
    <n v="27.57"/>
    <s v="PayPal"/>
    <n v="1"/>
  </r>
  <r>
    <s v="ORD-1236"/>
    <s v="2025-07-12"/>
    <x v="10"/>
    <s v="CUST-210"/>
    <s v="Tracy Pittman"/>
    <x v="1"/>
    <x v="1"/>
    <x v="0"/>
    <x v="2"/>
    <n v="8"/>
    <n v="598.91"/>
    <n v="4791.28"/>
    <n v="0.1"/>
    <n v="1417.77"/>
    <s v="Card"/>
    <n v="10"/>
  </r>
  <r>
    <s v="ORD-1237"/>
    <s v="2025-11-21"/>
    <x v="6"/>
    <s v="CUST-139"/>
    <s v="Judy Ortega"/>
    <x v="0"/>
    <x v="1"/>
    <x v="2"/>
    <x v="12"/>
    <n v="2"/>
    <n v="116.8"/>
    <n v="233.6"/>
    <n v="0.05"/>
    <n v="88.32"/>
    <s v="PayPal"/>
    <n v="6"/>
  </r>
  <r>
    <s v="ORD-1238"/>
    <s v="2025-05-19"/>
    <x v="7"/>
    <s v="CUST-126"/>
    <s v="Nathan Foster II"/>
    <x v="1"/>
    <x v="0"/>
    <x v="1"/>
    <x v="1"/>
    <n v="1"/>
    <n v="1132.69"/>
    <n v="1132.69"/>
    <n v="0.15"/>
    <n v="390.92"/>
    <s v="Card"/>
    <n v="7"/>
  </r>
  <r>
    <s v="ORD-1239"/>
    <s v="2025-07-01"/>
    <x v="10"/>
    <s v="CUST-241"/>
    <s v="Jeremy James"/>
    <x v="1"/>
    <x v="3"/>
    <x v="2"/>
    <x v="14"/>
    <n v="9"/>
    <n v="624.67999999999995"/>
    <n v="5622.12"/>
    <n v="0"/>
    <n v="3033.11"/>
    <s v="PayPal"/>
    <n v="1"/>
  </r>
  <r>
    <s v="ORD-1240"/>
    <s v="2025-05-05"/>
    <x v="7"/>
    <s v="CUST-246"/>
    <s v="Alan Carson"/>
    <x v="0"/>
    <x v="2"/>
    <x v="2"/>
    <x v="13"/>
    <n v="7"/>
    <n v="939.42"/>
    <n v="6575.94"/>
    <n v="0.3"/>
    <n v="872.51"/>
    <s v="Bank Transfer"/>
    <n v="7"/>
  </r>
  <r>
    <s v="ORD-1241"/>
    <s v="2025-03-27"/>
    <x v="5"/>
    <s v="CUST-211"/>
    <s v="Melanie Ramirez"/>
    <x v="2"/>
    <x v="1"/>
    <x v="1"/>
    <x v="15"/>
    <n v="5"/>
    <n v="375.33"/>
    <n v="1876.65"/>
    <n v="0.15"/>
    <n v="784.22"/>
    <s v="PayPal"/>
    <n v="8"/>
  </r>
  <r>
    <s v="ORD-1242"/>
    <s v="2025-11-01"/>
    <x v="6"/>
    <s v="CUST-257"/>
    <s v="Mary Montgomery"/>
    <x v="1"/>
    <x v="1"/>
    <x v="1"/>
    <x v="11"/>
    <n v="5"/>
    <n v="1134.18"/>
    <n v="5670.9"/>
    <n v="0.3"/>
    <n v="1190.8399999999999"/>
    <s v="Card"/>
    <n v="3"/>
  </r>
  <r>
    <s v="ORD-1243"/>
    <s v="2025-06-18"/>
    <x v="2"/>
    <s v="CUST-212"/>
    <s v="Susan Jackson"/>
    <x v="2"/>
    <x v="1"/>
    <x v="2"/>
    <x v="6"/>
    <n v="7"/>
    <n v="412.02"/>
    <n v="2884.14"/>
    <n v="0.2"/>
    <n v="918.41"/>
    <s v="Bank Transfer"/>
    <n v="10"/>
  </r>
  <r>
    <s v="ORD-1244"/>
    <s v="2025-06-10"/>
    <x v="2"/>
    <s v="CUST-145"/>
    <s v="Hannah Gardner"/>
    <x v="2"/>
    <x v="3"/>
    <x v="1"/>
    <x v="11"/>
    <n v="6"/>
    <n v="731.79"/>
    <n v="4390.74"/>
    <n v="0.3"/>
    <n v="1443.51"/>
    <s v="PayPal"/>
    <n v="8"/>
  </r>
  <r>
    <s v="ORD-1245"/>
    <s v="2025-10-16"/>
    <x v="1"/>
    <s v="CUST-151"/>
    <s v="Joseph White"/>
    <x v="0"/>
    <x v="2"/>
    <x v="0"/>
    <x v="10"/>
    <n v="6"/>
    <n v="463.75"/>
    <n v="2782.5"/>
    <n v="0.15"/>
    <n v="955.5"/>
    <s v="Bank Transfer"/>
    <n v="9"/>
  </r>
  <r>
    <s v="ORD-1246"/>
    <s v="2025-05-30"/>
    <x v="7"/>
    <s v="CUST-277"/>
    <s v="Julia Murphy"/>
    <x v="1"/>
    <x v="1"/>
    <x v="1"/>
    <x v="4"/>
    <n v="8"/>
    <n v="1132.71"/>
    <n v="9061.68"/>
    <n v="0.05"/>
    <n v="3224.94"/>
    <s v="Bank Transfer"/>
    <n v="8"/>
  </r>
  <r>
    <s v="ORD-1247"/>
    <s v="2025-08-05"/>
    <x v="8"/>
    <s v="CUST-196"/>
    <s v="April Martinez"/>
    <x v="1"/>
    <x v="1"/>
    <x v="1"/>
    <x v="4"/>
    <n v="5"/>
    <n v="305.58"/>
    <n v="1527.9"/>
    <n v="0.3"/>
    <n v="522.29999999999995"/>
    <s v="Bank Transfer"/>
    <n v="8"/>
  </r>
  <r>
    <s v="ORD-1248"/>
    <s v="2025-01-19"/>
    <x v="3"/>
    <s v="CUST-192"/>
    <s v="Deborah Tran"/>
    <x v="0"/>
    <x v="0"/>
    <x v="0"/>
    <x v="7"/>
    <n v="9"/>
    <n v="617.79999999999995"/>
    <n v="5560.2"/>
    <n v="0.3"/>
    <n v="1489.44"/>
    <s v="Card"/>
    <n v="4"/>
  </r>
  <r>
    <s v="ORD-1249"/>
    <s v="2025-11-27"/>
    <x v="6"/>
    <s v="CUST-273"/>
    <s v="Tanya Peterson"/>
    <x v="0"/>
    <x v="1"/>
    <x v="0"/>
    <x v="2"/>
    <n v="3"/>
    <n v="783.46"/>
    <n v="2350.38"/>
    <n v="0"/>
    <n v="763.2"/>
    <s v="PayPal"/>
    <n v="7"/>
  </r>
  <r>
    <s v="ORD-1250"/>
    <s v="2025-10-13"/>
    <x v="1"/>
    <s v="CUST-248"/>
    <s v="Melissa Bowman"/>
    <x v="0"/>
    <x v="2"/>
    <x v="1"/>
    <x v="1"/>
    <n v="2"/>
    <n v="325.31"/>
    <n v="650.62"/>
    <n v="0.2"/>
    <n v="130.78"/>
    <s v="PayPal"/>
    <n v="6"/>
  </r>
  <r>
    <s v="ORD-1251"/>
    <s v="2025-01-13"/>
    <x v="3"/>
    <s v="CUST-223"/>
    <s v="Michael Murphy"/>
    <x v="1"/>
    <x v="3"/>
    <x v="2"/>
    <x v="13"/>
    <n v="10"/>
    <n v="834.72"/>
    <n v="8347.2000000000007"/>
    <n v="0.05"/>
    <n v="3267.2"/>
    <s v="PayPal"/>
    <n v="2"/>
  </r>
  <r>
    <s v="ORD-1252"/>
    <s v="2025-04-16"/>
    <x v="9"/>
    <s v="CUST-233"/>
    <s v="Beth Smith"/>
    <x v="2"/>
    <x v="3"/>
    <x v="1"/>
    <x v="4"/>
    <n v="3"/>
    <n v="431.03"/>
    <n v="1293.0899999999999"/>
    <n v="0.1"/>
    <n v="428.12"/>
    <s v="PayPal"/>
    <n v="2"/>
  </r>
  <r>
    <s v="ORD-1253"/>
    <s v="2025-02-28"/>
    <x v="0"/>
    <s v="CUST-105"/>
    <s v="James Carr"/>
    <x v="2"/>
    <x v="0"/>
    <x v="2"/>
    <x v="13"/>
    <n v="6"/>
    <n v="99.27"/>
    <n v="595.62"/>
    <n v="0"/>
    <n v="134.57"/>
    <s v="Bank Transfer"/>
    <n v="3"/>
  </r>
  <r>
    <s v="ORD-1254"/>
    <s v="2025-08-07"/>
    <x v="8"/>
    <s v="CUST-218"/>
    <s v="Charlene Wright"/>
    <x v="1"/>
    <x v="1"/>
    <x v="0"/>
    <x v="10"/>
    <n v="9"/>
    <n v="225.85"/>
    <n v="2032.65"/>
    <n v="0.05"/>
    <n v="806.4"/>
    <s v="Bank Transfer"/>
    <n v="3"/>
  </r>
  <r>
    <s v="ORD-1255"/>
    <s v="2025-04-12"/>
    <x v="9"/>
    <s v="CUST-215"/>
    <s v="Jennifer Mendez"/>
    <x v="0"/>
    <x v="1"/>
    <x v="1"/>
    <x v="4"/>
    <n v="7"/>
    <n v="486.79"/>
    <n v="3407.53"/>
    <n v="0.3"/>
    <n v="725.97"/>
    <s v="PayPal"/>
    <n v="1"/>
  </r>
  <r>
    <s v="ORD-1256"/>
    <s v="2025-02-02"/>
    <x v="0"/>
    <s v="CUST-247"/>
    <s v="Jonathan Schneider"/>
    <x v="1"/>
    <x v="2"/>
    <x v="0"/>
    <x v="10"/>
    <n v="4"/>
    <n v="348.45"/>
    <n v="1393.8"/>
    <n v="0.3"/>
    <n v="220.99"/>
    <s v="PayPal"/>
    <n v="6"/>
  </r>
  <r>
    <s v="ORD-1257"/>
    <s v="2025-11-24"/>
    <x v="6"/>
    <s v="CUST-180"/>
    <s v="Christopher Dawson"/>
    <x v="0"/>
    <x v="1"/>
    <x v="1"/>
    <x v="3"/>
    <n v="2"/>
    <n v="329.58"/>
    <n v="659.16"/>
    <n v="0.15"/>
    <n v="189.89"/>
    <s v="Bank Transfer"/>
    <n v="7"/>
  </r>
  <r>
    <s v="ORD-1258"/>
    <s v="2025-12-11"/>
    <x v="4"/>
    <s v="CUST-280"/>
    <s v="Robert Gallagher"/>
    <x v="2"/>
    <x v="0"/>
    <x v="0"/>
    <x v="0"/>
    <n v="6"/>
    <n v="435.34"/>
    <n v="2612.04"/>
    <n v="0.15"/>
    <n v="672.85"/>
    <s v="Bank Transfer"/>
    <n v="3"/>
  </r>
  <r>
    <s v="ORD-1259"/>
    <s v="2025-03-14"/>
    <x v="5"/>
    <s v="CUST-230"/>
    <s v="Matthew Miller"/>
    <x v="2"/>
    <x v="1"/>
    <x v="2"/>
    <x v="6"/>
    <n v="4"/>
    <n v="380.35"/>
    <n v="1521.4"/>
    <n v="0.05"/>
    <n v="579.11"/>
    <s v="Bank Transfer"/>
    <n v="3"/>
  </r>
  <r>
    <s v="ORD-1260"/>
    <s v="2025-11-27"/>
    <x v="6"/>
    <s v="CUST-144"/>
    <s v="Katherine Smith"/>
    <x v="0"/>
    <x v="2"/>
    <x v="0"/>
    <x v="7"/>
    <n v="7"/>
    <n v="239.19"/>
    <n v="1674.33"/>
    <n v="0.3"/>
    <n v="392.69"/>
    <s v="PayPal"/>
    <n v="5"/>
  </r>
  <r>
    <s v="ORD-1261"/>
    <s v="2025-07-03"/>
    <x v="10"/>
    <s v="CUST-102"/>
    <s v="Christie Peterson"/>
    <x v="2"/>
    <x v="2"/>
    <x v="1"/>
    <x v="15"/>
    <n v="6"/>
    <n v="1013.54"/>
    <n v="6081.24"/>
    <n v="0.2"/>
    <n v="2571.42"/>
    <s v="Card"/>
    <n v="7"/>
  </r>
  <r>
    <s v="ORD-1262"/>
    <s v="2025-08-16"/>
    <x v="8"/>
    <s v="CUST-225"/>
    <s v="Amanda Hobbs"/>
    <x v="1"/>
    <x v="0"/>
    <x v="0"/>
    <x v="5"/>
    <n v="8"/>
    <n v="502.78"/>
    <n v="4022.24"/>
    <n v="0.15"/>
    <n v="1312"/>
    <s v="Bank Transfer"/>
    <n v="1"/>
  </r>
  <r>
    <s v="ORD-1263"/>
    <s v="2025-08-23"/>
    <x v="8"/>
    <s v="CUST-244"/>
    <s v="Mark Hood"/>
    <x v="0"/>
    <x v="1"/>
    <x v="1"/>
    <x v="11"/>
    <n v="1"/>
    <n v="344.33"/>
    <n v="344.33"/>
    <n v="0.2"/>
    <n v="119.7"/>
    <s v="Bank Transfer"/>
    <n v="9"/>
  </r>
  <r>
    <s v="ORD-1264"/>
    <s v="2025-07-07"/>
    <x v="10"/>
    <s v="CUST-238"/>
    <s v="Lisa King"/>
    <x v="1"/>
    <x v="1"/>
    <x v="1"/>
    <x v="9"/>
    <n v="2"/>
    <n v="336.11"/>
    <n v="672.22"/>
    <n v="0.2"/>
    <n v="118.68"/>
    <s v="Bank Transfer"/>
    <n v="4"/>
  </r>
  <r>
    <s v="ORD-1265"/>
    <s v="2025-06-28"/>
    <x v="2"/>
    <s v="CUST-122"/>
    <s v="Michael Jensen"/>
    <x v="2"/>
    <x v="0"/>
    <x v="2"/>
    <x v="6"/>
    <n v="4"/>
    <n v="371.3"/>
    <n v="1485.2"/>
    <n v="0"/>
    <n v="549.67999999999995"/>
    <s v="Card"/>
    <n v="4"/>
  </r>
  <r>
    <s v="ORD-1266"/>
    <s v="2025-03-26"/>
    <x v="5"/>
    <s v="CUST-257"/>
    <s v="Madison Harris"/>
    <x v="1"/>
    <x v="2"/>
    <x v="0"/>
    <x v="5"/>
    <n v="6"/>
    <n v="1036.04"/>
    <n v="6216.24"/>
    <n v="0.2"/>
    <n v="1476.44"/>
    <s v="Card"/>
    <n v="1"/>
  </r>
  <r>
    <s v="ORD-1267"/>
    <s v="2025-12-27"/>
    <x v="4"/>
    <s v="CUST-174"/>
    <s v="Tyler Porter"/>
    <x v="2"/>
    <x v="3"/>
    <x v="0"/>
    <x v="2"/>
    <n v="9"/>
    <n v="351.68"/>
    <n v="3165.12"/>
    <n v="0.2"/>
    <n v="1222.1099999999999"/>
    <s v="Bank Transfer"/>
    <n v="2"/>
  </r>
  <r>
    <s v="ORD-1268"/>
    <s v="2025-03-09"/>
    <x v="5"/>
    <s v="CUST-163"/>
    <s v="Rachel Gonzales"/>
    <x v="1"/>
    <x v="3"/>
    <x v="1"/>
    <x v="3"/>
    <n v="1"/>
    <n v="1191.1300000000001"/>
    <n v="1191.1300000000001"/>
    <n v="0.3"/>
    <n v="416.27"/>
    <s v="Card"/>
    <n v="7"/>
  </r>
  <r>
    <s v="ORD-1269"/>
    <s v="2025-08-20"/>
    <x v="8"/>
    <s v="CUST-119"/>
    <s v="Joseph Christian"/>
    <x v="0"/>
    <x v="0"/>
    <x v="2"/>
    <x v="12"/>
    <n v="10"/>
    <n v="766.23"/>
    <n v="7662.3"/>
    <n v="0.3"/>
    <n v="2061.29"/>
    <s v="PayPal"/>
    <n v="9"/>
  </r>
  <r>
    <s v="ORD-1270"/>
    <s v="2025-01-02"/>
    <x v="3"/>
    <s v="CUST-298"/>
    <s v="Russell Gomez"/>
    <x v="0"/>
    <x v="0"/>
    <x v="0"/>
    <x v="2"/>
    <n v="6"/>
    <n v="556.54"/>
    <n v="3339.24"/>
    <n v="0.15"/>
    <n v="1189.51"/>
    <s v="Bank Transfer"/>
    <n v="8"/>
  </r>
  <r>
    <s v="ORD-1271"/>
    <s v="2025-08-08"/>
    <x v="8"/>
    <s v="CUST-154"/>
    <s v="Holly Brown"/>
    <x v="2"/>
    <x v="3"/>
    <x v="0"/>
    <x v="2"/>
    <n v="2"/>
    <n v="958.9"/>
    <n v="1917.8"/>
    <n v="0.15"/>
    <n v="754.54"/>
    <s v="PayPal"/>
    <n v="5"/>
  </r>
  <r>
    <s v="ORD-1272"/>
    <s v="2025-12-16"/>
    <x v="4"/>
    <s v="CUST-295"/>
    <s v="Trevor Knox"/>
    <x v="1"/>
    <x v="0"/>
    <x v="2"/>
    <x v="14"/>
    <n v="10"/>
    <n v="174.1"/>
    <n v="1741"/>
    <n v="0.15"/>
    <n v="347.29"/>
    <s v="Card"/>
    <n v="8"/>
  </r>
  <r>
    <s v="ORD-1273"/>
    <s v="2025-08-08"/>
    <x v="8"/>
    <s v="CUST-151"/>
    <s v="Wendy Lozano"/>
    <x v="0"/>
    <x v="2"/>
    <x v="1"/>
    <x v="1"/>
    <n v="3"/>
    <n v="540.72"/>
    <n v="1622.16"/>
    <n v="0"/>
    <n v="248.62"/>
    <s v="Bank Transfer"/>
    <n v="5"/>
  </r>
  <r>
    <s v="ORD-1274"/>
    <s v="2025-12-07"/>
    <x v="4"/>
    <s v="CUST-266"/>
    <s v="Joseph Adams"/>
    <x v="1"/>
    <x v="0"/>
    <x v="1"/>
    <x v="11"/>
    <n v="2"/>
    <n v="792.41"/>
    <n v="1584.82"/>
    <n v="0.1"/>
    <n v="737.46"/>
    <s v="PayPal"/>
    <n v="5"/>
  </r>
  <r>
    <s v="ORD-1275"/>
    <s v="2025-04-20"/>
    <x v="9"/>
    <s v="CUST-222"/>
    <s v="Steven Fitzpatrick"/>
    <x v="1"/>
    <x v="2"/>
    <x v="0"/>
    <x v="10"/>
    <n v="7"/>
    <n v="793.47"/>
    <n v="5554.29"/>
    <n v="0.3"/>
    <n v="1990.37"/>
    <s v="Bank Transfer"/>
    <n v="4"/>
  </r>
  <r>
    <s v="ORD-1276"/>
    <s v="2025-08-05"/>
    <x v="8"/>
    <s v="CUST-277"/>
    <s v="Jessica Waters"/>
    <x v="1"/>
    <x v="1"/>
    <x v="0"/>
    <x v="7"/>
    <n v="1"/>
    <n v="29.51"/>
    <n v="29.51"/>
    <n v="0.1"/>
    <n v="5.93"/>
    <s v="Card"/>
    <n v="4"/>
  </r>
  <r>
    <s v="ORD-1277"/>
    <s v="2025-03-12"/>
    <x v="5"/>
    <s v="CUST-197"/>
    <s v="William Alexander"/>
    <x v="1"/>
    <x v="2"/>
    <x v="2"/>
    <x v="6"/>
    <n v="2"/>
    <n v="141.78"/>
    <n v="283.56"/>
    <n v="0.1"/>
    <n v="50.43"/>
    <s v="Card"/>
    <n v="9"/>
  </r>
  <r>
    <s v="ORD-1278"/>
    <s v="2025-04-20"/>
    <x v="9"/>
    <s v="CUST-260"/>
    <s v="Diana Freeman"/>
    <x v="0"/>
    <x v="2"/>
    <x v="0"/>
    <x v="0"/>
    <n v="10"/>
    <n v="787.02"/>
    <n v="7870.2"/>
    <n v="0.15"/>
    <n v="2739.59"/>
    <s v="PayPal"/>
    <n v="10"/>
  </r>
  <r>
    <s v="ORD-1279"/>
    <s v="2025-03-05"/>
    <x v="5"/>
    <s v="CUST-250"/>
    <s v="Robert Faulkner"/>
    <x v="0"/>
    <x v="1"/>
    <x v="0"/>
    <x v="7"/>
    <n v="4"/>
    <n v="122.29"/>
    <n v="489.16"/>
    <n v="0"/>
    <n v="241.64"/>
    <s v="PayPal"/>
    <n v="7"/>
  </r>
  <r>
    <s v="ORD-1280"/>
    <s v="2025-11-04"/>
    <x v="6"/>
    <s v="CUST-253"/>
    <s v="Sara Andrade"/>
    <x v="0"/>
    <x v="3"/>
    <x v="2"/>
    <x v="12"/>
    <n v="4"/>
    <n v="346.82"/>
    <n v="1387.28"/>
    <n v="0"/>
    <n v="625.29"/>
    <s v="Bank Transfer"/>
    <n v="1"/>
  </r>
  <r>
    <s v="ORD-1281"/>
    <s v="2025-07-20"/>
    <x v="10"/>
    <s v="CUST-175"/>
    <s v="Julie Adams"/>
    <x v="0"/>
    <x v="0"/>
    <x v="0"/>
    <x v="2"/>
    <n v="4"/>
    <n v="630.94000000000005"/>
    <n v="2523.7600000000002"/>
    <n v="0.2"/>
    <n v="958.1"/>
    <s v="Card"/>
    <n v="8"/>
  </r>
  <r>
    <s v="ORD-1282"/>
    <s v="2025-01-07"/>
    <x v="3"/>
    <s v="CUST-192"/>
    <s v="Daniel Barnes"/>
    <x v="2"/>
    <x v="2"/>
    <x v="2"/>
    <x v="6"/>
    <n v="4"/>
    <n v="609.51"/>
    <n v="2438.04"/>
    <n v="0.2"/>
    <n v="1017.34"/>
    <s v="PayPal"/>
    <n v="10"/>
  </r>
  <r>
    <s v="ORD-1283"/>
    <s v="2025-02-07"/>
    <x v="0"/>
    <s v="CUST-104"/>
    <s v="Matthew Vazquez"/>
    <x v="0"/>
    <x v="0"/>
    <x v="2"/>
    <x v="8"/>
    <n v="9"/>
    <n v="825.87"/>
    <n v="7432.83"/>
    <n v="0.15"/>
    <n v="1062.79"/>
    <s v="Card"/>
    <n v="5"/>
  </r>
  <r>
    <s v="ORD-1284"/>
    <s v="2025-11-18"/>
    <x v="6"/>
    <s v="CUST-282"/>
    <s v="Sandra Thomas"/>
    <x v="0"/>
    <x v="1"/>
    <x v="1"/>
    <x v="1"/>
    <n v="1"/>
    <n v="1139.44"/>
    <n v="1139.44"/>
    <n v="0.15"/>
    <n v="336.42"/>
    <s v="PayPal"/>
    <n v="7"/>
  </r>
  <r>
    <s v="ORD-1285"/>
    <s v="2025-06-08"/>
    <x v="2"/>
    <s v="CUST-120"/>
    <s v="Barry Campbell"/>
    <x v="0"/>
    <x v="2"/>
    <x v="1"/>
    <x v="4"/>
    <n v="9"/>
    <n v="654.42999999999995"/>
    <n v="5889.87"/>
    <n v="0.05"/>
    <n v="2456.44"/>
    <s v="Card"/>
    <n v="9"/>
  </r>
  <r>
    <s v="ORD-1286"/>
    <s v="2025-02-03"/>
    <x v="0"/>
    <s v="CUST-179"/>
    <s v="Kaitlin Reeves"/>
    <x v="0"/>
    <x v="1"/>
    <x v="2"/>
    <x v="13"/>
    <n v="10"/>
    <n v="768.47"/>
    <n v="7684.7"/>
    <n v="0.3"/>
    <n v="1493.17"/>
    <s v="Bank Transfer"/>
    <n v="4"/>
  </r>
  <r>
    <s v="ORD-1287"/>
    <s v="2025-11-08"/>
    <x v="6"/>
    <s v="CUST-114"/>
    <s v="Shane Kennedy"/>
    <x v="2"/>
    <x v="2"/>
    <x v="1"/>
    <x v="15"/>
    <n v="2"/>
    <n v="1111.06"/>
    <n v="2222.12"/>
    <n v="0"/>
    <n v="819.19"/>
    <s v="Card"/>
    <n v="1"/>
  </r>
  <r>
    <s v="ORD-1288"/>
    <s v="2025-05-13"/>
    <x v="7"/>
    <s v="CUST-142"/>
    <s v="Kimberly Kelly"/>
    <x v="2"/>
    <x v="2"/>
    <x v="0"/>
    <x v="10"/>
    <n v="1"/>
    <n v="213.32"/>
    <n v="213.32"/>
    <n v="0.1"/>
    <n v="65.430000000000007"/>
    <s v="Bank Transfer"/>
    <n v="5"/>
  </r>
  <r>
    <s v="ORD-1289"/>
    <s v="2025-02-02"/>
    <x v="0"/>
    <s v="CUST-167"/>
    <s v="Jeffrey Reeves"/>
    <x v="0"/>
    <x v="0"/>
    <x v="0"/>
    <x v="0"/>
    <n v="1"/>
    <n v="415.31"/>
    <n v="415.31"/>
    <n v="0.15"/>
    <n v="155.75"/>
    <s v="PayPal"/>
    <n v="8"/>
  </r>
  <r>
    <s v="ORD-1290"/>
    <s v="2025-03-22"/>
    <x v="5"/>
    <s v="CUST-165"/>
    <s v="Stacy King"/>
    <x v="1"/>
    <x v="0"/>
    <x v="0"/>
    <x v="2"/>
    <n v="1"/>
    <n v="609.54"/>
    <n v="609.54"/>
    <n v="0.2"/>
    <n v="235.65"/>
    <s v="Card"/>
    <n v="9"/>
  </r>
  <r>
    <s v="ORD-1291"/>
    <s v="2025-03-18"/>
    <x v="5"/>
    <s v="CUST-145"/>
    <s v="David Turner"/>
    <x v="1"/>
    <x v="1"/>
    <x v="1"/>
    <x v="1"/>
    <n v="1"/>
    <n v="308.57"/>
    <n v="308.57"/>
    <n v="0.15"/>
    <n v="106.07"/>
    <s v="Card"/>
    <n v="6"/>
  </r>
  <r>
    <s v="ORD-1292"/>
    <s v="2025-03-03"/>
    <x v="5"/>
    <s v="CUST-228"/>
    <s v="April Glass"/>
    <x v="0"/>
    <x v="0"/>
    <x v="1"/>
    <x v="3"/>
    <n v="6"/>
    <n v="340.08"/>
    <n v="2040.48"/>
    <n v="0"/>
    <n v="655.78"/>
    <s v="Card"/>
    <n v="4"/>
  </r>
  <r>
    <s v="ORD-1293"/>
    <s v="2025-06-09"/>
    <x v="2"/>
    <s v="CUST-183"/>
    <s v="Kristopher Mitchell"/>
    <x v="1"/>
    <x v="1"/>
    <x v="0"/>
    <x v="0"/>
    <n v="7"/>
    <n v="101.33"/>
    <n v="709.31"/>
    <n v="0.15"/>
    <n v="122.75"/>
    <s v="Card"/>
    <n v="6"/>
  </r>
  <r>
    <s v="ORD-1294"/>
    <s v="2025-08-26"/>
    <x v="8"/>
    <s v="CUST-194"/>
    <s v="Jacqueline White"/>
    <x v="0"/>
    <x v="1"/>
    <x v="1"/>
    <x v="11"/>
    <n v="10"/>
    <n v="945.72"/>
    <n v="9457.2000000000007"/>
    <n v="0.3"/>
    <n v="1992.06"/>
    <s v="Card"/>
    <n v="9"/>
  </r>
  <r>
    <s v="ORD-1295"/>
    <s v="2025-06-27"/>
    <x v="2"/>
    <s v="CUST-262"/>
    <s v="Heather Thompson"/>
    <x v="0"/>
    <x v="0"/>
    <x v="1"/>
    <x v="15"/>
    <n v="1"/>
    <n v="1120.23"/>
    <n v="1120.23"/>
    <n v="0"/>
    <n v="511.72"/>
    <s v="PayPal"/>
    <n v="1"/>
  </r>
  <r>
    <s v="ORD-1296"/>
    <s v="2025-08-03"/>
    <x v="8"/>
    <s v="CUST-225"/>
    <s v="Johnny Farrell"/>
    <x v="1"/>
    <x v="2"/>
    <x v="0"/>
    <x v="7"/>
    <n v="5"/>
    <n v="142.66"/>
    <n v="713.3"/>
    <n v="0.2"/>
    <n v="89.45"/>
    <s v="Bank Transfer"/>
    <n v="5"/>
  </r>
  <r>
    <s v="ORD-1297"/>
    <s v="2025-07-10"/>
    <x v="10"/>
    <s v="CUST-217"/>
    <s v="Jessica Lee"/>
    <x v="0"/>
    <x v="0"/>
    <x v="1"/>
    <x v="1"/>
    <n v="4"/>
    <n v="1078.8"/>
    <n v="4315.2"/>
    <n v="0.2"/>
    <n v="1328.31"/>
    <s v="Bank Transfer"/>
    <n v="2"/>
  </r>
  <r>
    <s v="ORD-1298"/>
    <s v="2025-12-06"/>
    <x v="4"/>
    <s v="CUST-133"/>
    <s v="Billy Brown"/>
    <x v="1"/>
    <x v="3"/>
    <x v="0"/>
    <x v="10"/>
    <n v="7"/>
    <n v="108.3"/>
    <n v="758.1"/>
    <n v="0.2"/>
    <n v="318.45"/>
    <s v="PayPal"/>
    <n v="6"/>
  </r>
  <r>
    <s v="ORD-1299"/>
    <s v="2025-04-14"/>
    <x v="9"/>
    <s v="CUST-134"/>
    <s v="Michael Williams"/>
    <x v="0"/>
    <x v="0"/>
    <x v="2"/>
    <x v="8"/>
    <n v="6"/>
    <n v="554.25"/>
    <n v="3325.5"/>
    <n v="0.05"/>
    <n v="1643.19"/>
    <s v="Card"/>
    <n v="2"/>
  </r>
  <r>
    <s v="ORD-1300"/>
    <s v="2025-04-17"/>
    <x v="9"/>
    <s v="CUST-215"/>
    <s v="Brian Barker"/>
    <x v="2"/>
    <x v="1"/>
    <x v="1"/>
    <x v="3"/>
    <n v="8"/>
    <n v="390.56"/>
    <n v="3124.48"/>
    <n v="0"/>
    <n v="1048.67"/>
    <s v="PayPal"/>
    <n v="2"/>
  </r>
  <r>
    <s v="ORD-1301"/>
    <s v="2025-04-21"/>
    <x v="9"/>
    <s v="CUST-183"/>
    <s v="Kathy Boyle"/>
    <x v="1"/>
    <x v="0"/>
    <x v="1"/>
    <x v="15"/>
    <n v="5"/>
    <n v="995.14"/>
    <n v="4975.7"/>
    <n v="0.3"/>
    <n v="1075.1300000000001"/>
    <s v="Bank Transfer"/>
    <n v="4"/>
  </r>
  <r>
    <s v="ORD-1302"/>
    <s v="2025-03-31"/>
    <x v="5"/>
    <s v="CUST-107"/>
    <s v="Lisa Williams"/>
    <x v="2"/>
    <x v="1"/>
    <x v="2"/>
    <x v="13"/>
    <n v="9"/>
    <n v="77.760000000000005"/>
    <n v="699.84"/>
    <n v="0.1"/>
    <n v="280.87"/>
    <s v="Bank Transfer"/>
    <n v="9"/>
  </r>
  <r>
    <s v="ORD-1303"/>
    <s v="2025-02-01"/>
    <x v="0"/>
    <s v="CUST-299"/>
    <s v="Dr. Brian Bryant PhD"/>
    <x v="1"/>
    <x v="2"/>
    <x v="1"/>
    <x v="1"/>
    <n v="8"/>
    <n v="140.25"/>
    <n v="1122"/>
    <n v="0.05"/>
    <n v="534.46"/>
    <s v="Card"/>
    <n v="7"/>
  </r>
  <r>
    <s v="ORD-1304"/>
    <s v="2025-02-03"/>
    <x v="0"/>
    <s v="CUST-150"/>
    <s v="Gina Miller"/>
    <x v="0"/>
    <x v="1"/>
    <x v="2"/>
    <x v="6"/>
    <n v="10"/>
    <n v="711.62"/>
    <n v="7116.2"/>
    <n v="0"/>
    <n v="3851.86"/>
    <s v="Card"/>
    <n v="2"/>
  </r>
  <r>
    <s v="ORD-1305"/>
    <s v="2025-10-21"/>
    <x v="1"/>
    <s v="CUST-210"/>
    <s v="Austin Gross"/>
    <x v="0"/>
    <x v="1"/>
    <x v="2"/>
    <x v="6"/>
    <n v="1"/>
    <n v="1131.8900000000001"/>
    <n v="1131.8900000000001"/>
    <n v="0"/>
    <n v="546.48"/>
    <s v="PayPal"/>
    <n v="1"/>
  </r>
  <r>
    <s v="ORD-1306"/>
    <s v="2025-08-17"/>
    <x v="8"/>
    <s v="CUST-138"/>
    <s v="Anthony Smith"/>
    <x v="1"/>
    <x v="2"/>
    <x v="2"/>
    <x v="13"/>
    <n v="3"/>
    <n v="437.65"/>
    <n v="1312.95"/>
    <n v="0.05"/>
    <n v="548.82000000000005"/>
    <s v="Bank Transfer"/>
    <n v="5"/>
  </r>
  <r>
    <s v="ORD-1307"/>
    <s v="2025-03-12"/>
    <x v="5"/>
    <s v="CUST-207"/>
    <s v="Jessica Wilson"/>
    <x v="1"/>
    <x v="2"/>
    <x v="2"/>
    <x v="13"/>
    <n v="9"/>
    <n v="585.26"/>
    <n v="5267.34"/>
    <n v="0"/>
    <n v="2307.5700000000002"/>
    <s v="Bank Transfer"/>
    <n v="9"/>
  </r>
  <r>
    <s v="ORD-1308"/>
    <s v="2025-10-17"/>
    <x v="1"/>
    <s v="CUST-228"/>
    <s v="Amy Archer"/>
    <x v="2"/>
    <x v="1"/>
    <x v="1"/>
    <x v="3"/>
    <n v="6"/>
    <n v="586.03"/>
    <n v="3516.18"/>
    <n v="0.15"/>
    <n v="1232.52"/>
    <s v="PayPal"/>
    <n v="3"/>
  </r>
  <r>
    <s v="ORD-1309"/>
    <s v="2025-08-30"/>
    <x v="8"/>
    <s v="CUST-235"/>
    <s v="Abigail Ross"/>
    <x v="2"/>
    <x v="2"/>
    <x v="1"/>
    <x v="11"/>
    <n v="10"/>
    <n v="278.44"/>
    <n v="2784.4"/>
    <n v="0.1"/>
    <n v="1319.55"/>
    <s v="Card"/>
    <n v="2"/>
  </r>
  <r>
    <s v="ORD-1310"/>
    <s v="2025-04-23"/>
    <x v="9"/>
    <s v="CUST-247"/>
    <s v="Jonathon Robinson"/>
    <x v="2"/>
    <x v="3"/>
    <x v="1"/>
    <x v="4"/>
    <n v="4"/>
    <n v="334.5"/>
    <n v="1338"/>
    <n v="0.3"/>
    <n v="494.18"/>
    <s v="Card"/>
    <n v="3"/>
  </r>
  <r>
    <s v="ORD-1311"/>
    <s v="2025-10-30"/>
    <x v="1"/>
    <s v="CUST-107"/>
    <s v="Melvin Hamilton"/>
    <x v="0"/>
    <x v="3"/>
    <x v="1"/>
    <x v="9"/>
    <n v="6"/>
    <n v="971.33"/>
    <n v="5827.98"/>
    <n v="0.3"/>
    <n v="1658.3"/>
    <s v="Bank Transfer"/>
    <n v="10"/>
  </r>
  <r>
    <s v="ORD-1312"/>
    <s v="2025-03-31"/>
    <x v="5"/>
    <s v="CUST-225"/>
    <s v="Rhonda Robertson"/>
    <x v="1"/>
    <x v="0"/>
    <x v="1"/>
    <x v="9"/>
    <n v="4"/>
    <n v="1007.3"/>
    <n v="4029.2"/>
    <n v="0.15"/>
    <n v="1140.98"/>
    <s v="Card"/>
    <n v="4"/>
  </r>
  <r>
    <s v="ORD-1313"/>
    <s v="2025-11-11"/>
    <x v="6"/>
    <s v="CUST-151"/>
    <s v="Paul Morgan"/>
    <x v="1"/>
    <x v="3"/>
    <x v="0"/>
    <x v="10"/>
    <n v="1"/>
    <n v="641.21"/>
    <n v="641.21"/>
    <n v="0"/>
    <n v="267.58"/>
    <s v="Bank Transfer"/>
    <n v="3"/>
  </r>
  <r>
    <s v="ORD-1314"/>
    <s v="2025-02-26"/>
    <x v="0"/>
    <s v="CUST-234"/>
    <s v="Jim Massey"/>
    <x v="2"/>
    <x v="0"/>
    <x v="2"/>
    <x v="6"/>
    <n v="1"/>
    <n v="194.3"/>
    <n v="194.3"/>
    <n v="0.3"/>
    <n v="24.9"/>
    <s v="PayPal"/>
    <n v="7"/>
  </r>
  <r>
    <s v="ORD-1315"/>
    <s v="2025-08-12"/>
    <x v="8"/>
    <s v="CUST-263"/>
    <s v="James Baker"/>
    <x v="2"/>
    <x v="3"/>
    <x v="0"/>
    <x v="0"/>
    <n v="6"/>
    <n v="376.08"/>
    <n v="2256.48"/>
    <n v="0.05"/>
    <n v="342.25"/>
    <s v="Card"/>
    <n v="9"/>
  </r>
  <r>
    <s v="ORD-1316"/>
    <s v="2025-07-13"/>
    <x v="10"/>
    <s v="CUST-178"/>
    <s v="Ethan Rowe"/>
    <x v="0"/>
    <x v="3"/>
    <x v="0"/>
    <x v="5"/>
    <n v="6"/>
    <n v="283.42"/>
    <n v="1700.52"/>
    <n v="0.2"/>
    <n v="305.02999999999997"/>
    <s v="Card"/>
    <n v="3"/>
  </r>
  <r>
    <s v="ORD-1317"/>
    <s v="2025-11-05"/>
    <x v="6"/>
    <s v="CUST-181"/>
    <s v="Erica Torres"/>
    <x v="0"/>
    <x v="2"/>
    <x v="0"/>
    <x v="0"/>
    <n v="10"/>
    <n v="482.09"/>
    <n v="4820.8999999999996"/>
    <n v="0.2"/>
    <n v="2071.2399999999998"/>
    <s v="Bank Transfer"/>
    <n v="10"/>
  </r>
  <r>
    <s v="ORD-1318"/>
    <s v="2025-06-13"/>
    <x v="2"/>
    <s v="CUST-142"/>
    <s v="Haley Larson"/>
    <x v="0"/>
    <x v="0"/>
    <x v="1"/>
    <x v="3"/>
    <n v="3"/>
    <n v="410.78"/>
    <n v="1232.3399999999999"/>
    <n v="0"/>
    <n v="560.47"/>
    <s v="Bank Transfer"/>
    <n v="6"/>
  </r>
  <r>
    <s v="ORD-1319"/>
    <s v="2025-05-12"/>
    <x v="7"/>
    <s v="CUST-127"/>
    <s v="Eric Page"/>
    <x v="0"/>
    <x v="0"/>
    <x v="2"/>
    <x v="6"/>
    <n v="5"/>
    <n v="267.43"/>
    <n v="1337.15"/>
    <n v="0.3"/>
    <n v="489.42"/>
    <s v="Card"/>
    <n v="7"/>
  </r>
  <r>
    <s v="ORD-1320"/>
    <s v="2025-06-29"/>
    <x v="2"/>
    <s v="CUST-239"/>
    <s v="Juan Ford"/>
    <x v="2"/>
    <x v="0"/>
    <x v="2"/>
    <x v="13"/>
    <n v="3"/>
    <n v="1063.77"/>
    <n v="3191.31"/>
    <n v="0.15"/>
    <n v="535.17999999999995"/>
    <s v="PayPal"/>
    <n v="10"/>
  </r>
  <r>
    <s v="ORD-1321"/>
    <s v="2025-06-13"/>
    <x v="2"/>
    <s v="CUST-166"/>
    <s v="Kiara Hardy"/>
    <x v="1"/>
    <x v="0"/>
    <x v="0"/>
    <x v="10"/>
    <n v="3"/>
    <n v="552.52"/>
    <n v="1657.56"/>
    <n v="0"/>
    <n v="716.13"/>
    <s v="PayPal"/>
    <n v="3"/>
  </r>
  <r>
    <s v="ORD-1322"/>
    <s v="2025-11-11"/>
    <x v="6"/>
    <s v="CUST-223"/>
    <s v="Sara Medina"/>
    <x v="0"/>
    <x v="0"/>
    <x v="2"/>
    <x v="12"/>
    <n v="2"/>
    <n v="665.51"/>
    <n v="1331.02"/>
    <n v="0"/>
    <n v="552.13"/>
    <s v="PayPal"/>
    <n v="3"/>
  </r>
  <r>
    <s v="ORD-1323"/>
    <s v="2025-04-08"/>
    <x v="9"/>
    <s v="CUST-204"/>
    <s v="Dennis Silva"/>
    <x v="0"/>
    <x v="3"/>
    <x v="0"/>
    <x v="7"/>
    <n v="3"/>
    <n v="83.2"/>
    <n v="249.6"/>
    <n v="0.1"/>
    <n v="105.08"/>
    <s v="Bank Transfer"/>
    <n v="5"/>
  </r>
  <r>
    <s v="ORD-1324"/>
    <s v="2025-09-09"/>
    <x v="11"/>
    <s v="CUST-139"/>
    <s v="Beth Roberts"/>
    <x v="1"/>
    <x v="3"/>
    <x v="2"/>
    <x v="12"/>
    <n v="2"/>
    <n v="78.569999999999993"/>
    <n v="157.13999999999999"/>
    <n v="0.2"/>
    <n v="41.5"/>
    <s v="Card"/>
    <n v="7"/>
  </r>
  <r>
    <s v="ORD-1325"/>
    <s v="2025-03-29"/>
    <x v="5"/>
    <s v="CUST-263"/>
    <s v="Susan Phelps"/>
    <x v="2"/>
    <x v="0"/>
    <x v="1"/>
    <x v="11"/>
    <n v="10"/>
    <n v="586.79"/>
    <n v="5867.9"/>
    <n v="0"/>
    <n v="3166.94"/>
    <s v="PayPal"/>
    <n v="2"/>
  </r>
  <r>
    <s v="ORD-1326"/>
    <s v="2025-11-25"/>
    <x v="6"/>
    <s v="CUST-239"/>
    <s v="Brandon Smith"/>
    <x v="2"/>
    <x v="2"/>
    <x v="2"/>
    <x v="13"/>
    <n v="8"/>
    <n v="597.13"/>
    <n v="4777.04"/>
    <n v="0.3"/>
    <n v="1484.7"/>
    <s v="PayPal"/>
    <n v="7"/>
  </r>
  <r>
    <s v="ORD-1327"/>
    <s v="2025-04-26"/>
    <x v="9"/>
    <s v="CUST-168"/>
    <s v="Ann Garcia"/>
    <x v="0"/>
    <x v="0"/>
    <x v="2"/>
    <x v="12"/>
    <n v="8"/>
    <n v="72.650000000000006"/>
    <n v="581.20000000000005"/>
    <n v="0.15"/>
    <n v="179.81"/>
    <s v="Card"/>
    <n v="2"/>
  </r>
  <r>
    <s v="ORD-1328"/>
    <s v="2025-10-29"/>
    <x v="1"/>
    <s v="CUST-158"/>
    <s v="Jesus Roberts"/>
    <x v="0"/>
    <x v="0"/>
    <x v="1"/>
    <x v="4"/>
    <n v="6"/>
    <n v="973.65"/>
    <n v="5841.9"/>
    <n v="0.15"/>
    <n v="803.03"/>
    <s v="PayPal"/>
    <n v="9"/>
  </r>
  <r>
    <s v="ORD-1329"/>
    <s v="2025-02-10"/>
    <x v="0"/>
    <s v="CUST-201"/>
    <s v="John Anderson"/>
    <x v="0"/>
    <x v="0"/>
    <x v="2"/>
    <x v="14"/>
    <n v="8"/>
    <n v="695.8"/>
    <n v="5566.4"/>
    <n v="0.05"/>
    <n v="1901.04"/>
    <s v="Bank Transfer"/>
    <n v="10"/>
  </r>
  <r>
    <s v="ORD-1330"/>
    <s v="2025-03-27"/>
    <x v="5"/>
    <s v="CUST-154"/>
    <s v="Anna Gibson MD"/>
    <x v="1"/>
    <x v="2"/>
    <x v="0"/>
    <x v="5"/>
    <n v="10"/>
    <n v="193.99"/>
    <n v="1939.9"/>
    <n v="0.15"/>
    <n v="792.88"/>
    <s v="Card"/>
    <n v="7"/>
  </r>
  <r>
    <s v="ORD-1331"/>
    <s v="2025-11-01"/>
    <x v="6"/>
    <s v="CUST-166"/>
    <s v="Briana Jones"/>
    <x v="2"/>
    <x v="0"/>
    <x v="1"/>
    <x v="4"/>
    <n v="7"/>
    <n v="258.26"/>
    <n v="1807.82"/>
    <n v="0.3"/>
    <n v="621.16"/>
    <s v="Card"/>
    <n v="7"/>
  </r>
  <r>
    <s v="ORD-1332"/>
    <s v="2025-01-07"/>
    <x v="3"/>
    <s v="CUST-279"/>
    <s v="Marilyn Erickson"/>
    <x v="0"/>
    <x v="1"/>
    <x v="0"/>
    <x v="7"/>
    <n v="9"/>
    <n v="404.83"/>
    <n v="3643.47"/>
    <n v="0.1"/>
    <n v="1121.8699999999999"/>
    <s v="Card"/>
    <n v="7"/>
  </r>
  <r>
    <s v="ORD-1333"/>
    <s v="2025-10-16"/>
    <x v="1"/>
    <s v="CUST-299"/>
    <s v="Cindy Chandler"/>
    <x v="1"/>
    <x v="3"/>
    <x v="1"/>
    <x v="15"/>
    <n v="10"/>
    <n v="713.76"/>
    <n v="7137.6"/>
    <n v="0"/>
    <n v="1284.97"/>
    <s v="Bank Transfer"/>
    <n v="6"/>
  </r>
  <r>
    <s v="ORD-1334"/>
    <s v="2025-01-20"/>
    <x v="3"/>
    <s v="CUST-144"/>
    <s v="Gary Jones"/>
    <x v="2"/>
    <x v="1"/>
    <x v="2"/>
    <x v="8"/>
    <n v="7"/>
    <n v="792.65"/>
    <n v="5548.55"/>
    <n v="0.2"/>
    <n v="1360.13"/>
    <s v="Card"/>
    <n v="10"/>
  </r>
  <r>
    <s v="ORD-1335"/>
    <s v="2025-01-26"/>
    <x v="3"/>
    <s v="CUST-290"/>
    <s v="Katrina Hardy"/>
    <x v="2"/>
    <x v="3"/>
    <x v="0"/>
    <x v="7"/>
    <n v="1"/>
    <n v="487.04"/>
    <n v="487.04"/>
    <n v="0.1"/>
    <n v="120.01"/>
    <s v="PayPal"/>
    <n v="1"/>
  </r>
  <r>
    <s v="ORD-1336"/>
    <s v="2025-12-17"/>
    <x v="4"/>
    <s v="CUST-125"/>
    <s v="Christine Vasquez"/>
    <x v="1"/>
    <x v="2"/>
    <x v="2"/>
    <x v="8"/>
    <n v="5"/>
    <n v="350.81"/>
    <n v="1754.05"/>
    <n v="0.15"/>
    <n v="308.19"/>
    <s v="PayPal"/>
    <n v="8"/>
  </r>
  <r>
    <s v="ORD-1337"/>
    <s v="2025-04-19"/>
    <x v="9"/>
    <s v="CUST-204"/>
    <s v="David Haynes"/>
    <x v="0"/>
    <x v="1"/>
    <x v="2"/>
    <x v="8"/>
    <n v="7"/>
    <n v="733.88"/>
    <n v="5137.16"/>
    <n v="0"/>
    <n v="2439.2600000000002"/>
    <s v="Bank Transfer"/>
    <n v="6"/>
  </r>
  <r>
    <s v="ORD-1338"/>
    <s v="2025-03-11"/>
    <x v="5"/>
    <s v="CUST-299"/>
    <s v="Michael Johnson"/>
    <x v="0"/>
    <x v="0"/>
    <x v="1"/>
    <x v="9"/>
    <n v="3"/>
    <n v="97.43"/>
    <n v="292.29000000000002"/>
    <n v="0.3"/>
    <n v="71.05"/>
    <s v="Card"/>
    <n v="4"/>
  </r>
  <r>
    <s v="ORD-1339"/>
    <s v="2025-12-27"/>
    <x v="4"/>
    <s v="CUST-150"/>
    <s v="Michael Ortiz"/>
    <x v="2"/>
    <x v="3"/>
    <x v="1"/>
    <x v="1"/>
    <n v="4"/>
    <n v="59.02"/>
    <n v="236.08"/>
    <n v="0"/>
    <n v="43.15"/>
    <s v="PayPal"/>
    <n v="9"/>
  </r>
  <r>
    <s v="ORD-1340"/>
    <s v="2025-04-01"/>
    <x v="9"/>
    <s v="CUST-221"/>
    <s v="Christina Carney"/>
    <x v="0"/>
    <x v="3"/>
    <x v="2"/>
    <x v="6"/>
    <n v="1"/>
    <n v="305.49"/>
    <n v="305.49"/>
    <n v="0.15"/>
    <n v="81.12"/>
    <s v="PayPal"/>
    <n v="3"/>
  </r>
  <r>
    <s v="ORD-1341"/>
    <s v="2025-10-20"/>
    <x v="1"/>
    <s v="CUST-299"/>
    <s v="Jennifer Myers"/>
    <x v="1"/>
    <x v="2"/>
    <x v="2"/>
    <x v="6"/>
    <n v="5"/>
    <n v="52.39"/>
    <n v="261.95"/>
    <n v="0"/>
    <n v="127"/>
    <s v="Bank Transfer"/>
    <n v="4"/>
  </r>
  <r>
    <s v="ORD-1342"/>
    <s v="2025-12-16"/>
    <x v="4"/>
    <s v="CUST-102"/>
    <s v="Kristin Silva"/>
    <x v="2"/>
    <x v="2"/>
    <x v="0"/>
    <x v="10"/>
    <n v="5"/>
    <n v="788.87"/>
    <n v="3944.35"/>
    <n v="0.2"/>
    <n v="1710.2"/>
    <s v="Bank Transfer"/>
    <n v="3"/>
  </r>
  <r>
    <s v="ORD-1343"/>
    <s v="2025-12-30"/>
    <x v="4"/>
    <s v="CUST-264"/>
    <s v="Sophia Anderson"/>
    <x v="2"/>
    <x v="1"/>
    <x v="0"/>
    <x v="0"/>
    <n v="4"/>
    <n v="317.82"/>
    <n v="1271.28"/>
    <n v="0.1"/>
    <n v="303.08999999999997"/>
    <s v="PayPal"/>
    <n v="6"/>
  </r>
  <r>
    <s v="ORD-1344"/>
    <s v="2025-11-16"/>
    <x v="6"/>
    <s v="CUST-201"/>
    <s v="Richard Thomas"/>
    <x v="0"/>
    <x v="0"/>
    <x v="2"/>
    <x v="8"/>
    <n v="4"/>
    <n v="570.70000000000005"/>
    <n v="2282.8000000000002"/>
    <n v="0.3"/>
    <n v="546.09"/>
    <s v="Card"/>
    <n v="9"/>
  </r>
  <r>
    <s v="ORD-1345"/>
    <s v="2025-12-17"/>
    <x v="4"/>
    <s v="CUST-127"/>
    <s v="Jeremy Hill"/>
    <x v="2"/>
    <x v="0"/>
    <x v="0"/>
    <x v="2"/>
    <n v="9"/>
    <n v="783.86"/>
    <n v="7054.74"/>
    <n v="0.2"/>
    <n v="2465.94"/>
    <s v="PayPal"/>
    <n v="5"/>
  </r>
  <r>
    <s v="ORD-1346"/>
    <s v="2025-11-30"/>
    <x v="6"/>
    <s v="CUST-176"/>
    <s v="Maria Spencer"/>
    <x v="1"/>
    <x v="2"/>
    <x v="0"/>
    <x v="2"/>
    <n v="5"/>
    <n v="328.15"/>
    <n v="1640.75"/>
    <n v="0.3"/>
    <n v="194.24"/>
    <s v="Bank Transfer"/>
    <n v="4"/>
  </r>
  <r>
    <s v="ORD-1347"/>
    <s v="2025-01-14"/>
    <x v="3"/>
    <s v="CUST-267"/>
    <s v="Paul Rice"/>
    <x v="2"/>
    <x v="3"/>
    <x v="1"/>
    <x v="9"/>
    <n v="7"/>
    <n v="799.43"/>
    <n v="5596.01"/>
    <n v="0.3"/>
    <n v="1935.21"/>
    <s v="PayPal"/>
    <n v="7"/>
  </r>
  <r>
    <s v="ORD-1348"/>
    <s v="2025-06-25"/>
    <x v="2"/>
    <s v="CUST-285"/>
    <s v="Angela Lee"/>
    <x v="0"/>
    <x v="2"/>
    <x v="2"/>
    <x v="13"/>
    <n v="1"/>
    <n v="707.97"/>
    <n v="707.97"/>
    <n v="0.2"/>
    <n v="126.64"/>
    <s v="Bank Transfer"/>
    <n v="9"/>
  </r>
  <r>
    <s v="ORD-1349"/>
    <s v="2025-10-13"/>
    <x v="1"/>
    <s v="CUST-146"/>
    <s v="Michael Carter DDS"/>
    <x v="2"/>
    <x v="0"/>
    <x v="0"/>
    <x v="7"/>
    <n v="6"/>
    <n v="618.63"/>
    <n v="3711.78"/>
    <n v="0.05"/>
    <n v="753.7"/>
    <s v="PayPal"/>
    <n v="3"/>
  </r>
  <r>
    <s v="ORD-1350"/>
    <s v="2025-06-21"/>
    <x v="2"/>
    <s v="CUST-267"/>
    <s v="Donald Elliott"/>
    <x v="1"/>
    <x v="2"/>
    <x v="0"/>
    <x v="2"/>
    <n v="9"/>
    <n v="920.24"/>
    <n v="8282.16"/>
    <n v="0.05"/>
    <n v="1347.25"/>
    <s v="PayPal"/>
    <n v="4"/>
  </r>
  <r>
    <s v="ORD-1351"/>
    <s v="2025-10-27"/>
    <x v="1"/>
    <s v="CUST-175"/>
    <s v="Vincent Molina"/>
    <x v="2"/>
    <x v="0"/>
    <x v="0"/>
    <x v="2"/>
    <n v="7"/>
    <n v="949.95"/>
    <n v="6649.65"/>
    <n v="0.1"/>
    <n v="2401.8200000000002"/>
    <s v="PayPal"/>
    <n v="1"/>
  </r>
  <r>
    <s v="ORD-1352"/>
    <s v="2025-04-10"/>
    <x v="9"/>
    <s v="CUST-228"/>
    <s v="Erica Brown"/>
    <x v="1"/>
    <x v="1"/>
    <x v="0"/>
    <x v="5"/>
    <n v="10"/>
    <n v="1134.28"/>
    <n v="11342.8"/>
    <n v="0"/>
    <n v="4096.0200000000004"/>
    <s v="Bank Transfer"/>
    <n v="5"/>
  </r>
  <r>
    <s v="ORD-1353"/>
    <s v="2025-10-19"/>
    <x v="1"/>
    <s v="CUST-217"/>
    <s v="Alexander Harvey"/>
    <x v="1"/>
    <x v="3"/>
    <x v="2"/>
    <x v="6"/>
    <n v="3"/>
    <n v="182.09"/>
    <n v="546.27"/>
    <n v="0.05"/>
    <n v="214.29"/>
    <s v="Bank Transfer"/>
    <n v="3"/>
  </r>
  <r>
    <s v="ORD-1354"/>
    <s v="2025-01-30"/>
    <x v="3"/>
    <s v="CUST-101"/>
    <s v="Dean Johnson"/>
    <x v="2"/>
    <x v="3"/>
    <x v="1"/>
    <x v="3"/>
    <n v="6"/>
    <n v="764.62"/>
    <n v="4587.72"/>
    <n v="0.05"/>
    <n v="1850.7"/>
    <s v="Card"/>
    <n v="3"/>
  </r>
  <r>
    <s v="ORD-1355"/>
    <s v="2025-08-11"/>
    <x v="8"/>
    <s v="CUST-262"/>
    <s v="Candace Miller"/>
    <x v="2"/>
    <x v="1"/>
    <x v="0"/>
    <x v="10"/>
    <n v="8"/>
    <n v="946.55"/>
    <n v="7572.4"/>
    <n v="0"/>
    <n v="3772.85"/>
    <s v="PayPal"/>
    <n v="8"/>
  </r>
  <r>
    <s v="ORD-1356"/>
    <s v="2025-01-08"/>
    <x v="3"/>
    <s v="CUST-182"/>
    <s v="Jason Leach"/>
    <x v="0"/>
    <x v="2"/>
    <x v="2"/>
    <x v="6"/>
    <n v="1"/>
    <n v="649.86"/>
    <n v="649.86"/>
    <n v="0.3"/>
    <n v="182.31"/>
    <s v="Card"/>
    <n v="1"/>
  </r>
  <r>
    <s v="ORD-1357"/>
    <s v="2025-02-22"/>
    <x v="0"/>
    <s v="CUST-198"/>
    <s v="Lisa Mathis"/>
    <x v="0"/>
    <x v="3"/>
    <x v="0"/>
    <x v="10"/>
    <n v="4"/>
    <n v="838.36"/>
    <n v="3353.44"/>
    <n v="0.1"/>
    <n v="1283.18"/>
    <s v="Card"/>
    <n v="2"/>
  </r>
  <r>
    <s v="ORD-1358"/>
    <s v="2025-06-22"/>
    <x v="2"/>
    <s v="CUST-211"/>
    <s v="Vicki Hawkins"/>
    <x v="0"/>
    <x v="2"/>
    <x v="1"/>
    <x v="11"/>
    <n v="5"/>
    <n v="557.99"/>
    <n v="2789.95"/>
    <n v="0.2"/>
    <n v="695.15"/>
    <s v="PayPal"/>
    <n v="8"/>
  </r>
  <r>
    <s v="ORD-1359"/>
    <s v="2025-04-25"/>
    <x v="9"/>
    <s v="CUST-286"/>
    <s v="Krystal Love"/>
    <x v="1"/>
    <x v="2"/>
    <x v="2"/>
    <x v="12"/>
    <n v="3"/>
    <n v="1138.74"/>
    <n v="3416.22"/>
    <n v="0.15"/>
    <n v="1574.87"/>
    <s v="Bank Transfer"/>
    <n v="1"/>
  </r>
  <r>
    <s v="ORD-1360"/>
    <s v="2025-01-20"/>
    <x v="3"/>
    <s v="CUST-196"/>
    <s v="Crystal Moon"/>
    <x v="0"/>
    <x v="3"/>
    <x v="0"/>
    <x v="5"/>
    <n v="3"/>
    <n v="165.33"/>
    <n v="495.99"/>
    <n v="0.3"/>
    <n v="100.61"/>
    <s v="Bank Transfer"/>
    <n v="10"/>
  </r>
  <r>
    <s v="ORD-1361"/>
    <s v="2025-01-25"/>
    <x v="3"/>
    <s v="CUST-276"/>
    <s v="Debbie Yoder"/>
    <x v="1"/>
    <x v="1"/>
    <x v="1"/>
    <x v="9"/>
    <n v="1"/>
    <n v="801.12"/>
    <n v="801.12"/>
    <n v="0.3"/>
    <n v="120.88"/>
    <s v="PayPal"/>
    <n v="7"/>
  </r>
  <r>
    <s v="ORD-1362"/>
    <s v="2025-12-18"/>
    <x v="4"/>
    <s v="CUST-261"/>
    <s v="Lawrence Nelson"/>
    <x v="1"/>
    <x v="3"/>
    <x v="1"/>
    <x v="9"/>
    <n v="5"/>
    <n v="579.79"/>
    <n v="2898.95"/>
    <n v="0.05"/>
    <n v="1288.33"/>
    <s v="PayPal"/>
    <n v="2"/>
  </r>
  <r>
    <s v="ORD-1363"/>
    <s v="2025-02-23"/>
    <x v="0"/>
    <s v="CUST-230"/>
    <s v="Derek Tucker"/>
    <x v="0"/>
    <x v="0"/>
    <x v="0"/>
    <x v="5"/>
    <n v="5"/>
    <n v="754.9"/>
    <n v="3774.5"/>
    <n v="0.3"/>
    <n v="1308.22"/>
    <s v="PayPal"/>
    <n v="2"/>
  </r>
  <r>
    <s v="ORD-1364"/>
    <s v="2025-04-14"/>
    <x v="9"/>
    <s v="CUST-191"/>
    <s v="Megan Chung"/>
    <x v="0"/>
    <x v="1"/>
    <x v="1"/>
    <x v="3"/>
    <n v="4"/>
    <n v="738.62"/>
    <n v="2954.48"/>
    <n v="0.1"/>
    <n v="578.07000000000005"/>
    <s v="PayPal"/>
    <n v="3"/>
  </r>
  <r>
    <s v="ORD-1365"/>
    <s v="2025-06-19"/>
    <x v="2"/>
    <s v="CUST-160"/>
    <s v="Rhonda Delacruz"/>
    <x v="1"/>
    <x v="0"/>
    <x v="1"/>
    <x v="9"/>
    <n v="8"/>
    <n v="1094.22"/>
    <n v="8753.76"/>
    <n v="0.3"/>
    <n v="1083.06"/>
    <s v="Bank Transfer"/>
    <n v="2"/>
  </r>
  <r>
    <s v="ORD-1366"/>
    <s v="2025-02-08"/>
    <x v="0"/>
    <s v="CUST-285"/>
    <s v="Jonathan George"/>
    <x v="0"/>
    <x v="0"/>
    <x v="1"/>
    <x v="9"/>
    <n v="8"/>
    <n v="195.99"/>
    <n v="1567.92"/>
    <n v="0"/>
    <n v="373.46"/>
    <s v="PayPal"/>
    <n v="4"/>
  </r>
  <r>
    <s v="ORD-1367"/>
    <s v="2025-01-21"/>
    <x v="3"/>
    <s v="CUST-174"/>
    <s v="Bruce Jackson"/>
    <x v="2"/>
    <x v="3"/>
    <x v="2"/>
    <x v="8"/>
    <n v="5"/>
    <n v="567.85"/>
    <n v="2839.25"/>
    <n v="0"/>
    <n v="638.05999999999995"/>
    <s v="PayPal"/>
    <n v="2"/>
  </r>
  <r>
    <s v="ORD-1368"/>
    <s v="2025-06-18"/>
    <x v="2"/>
    <s v="CUST-191"/>
    <s v="Ryan Wilson"/>
    <x v="2"/>
    <x v="3"/>
    <x v="1"/>
    <x v="1"/>
    <n v="1"/>
    <n v="1025.3599999999999"/>
    <n v="1025.3599999999999"/>
    <n v="0.3"/>
    <n v="208.95"/>
    <s v="Bank Transfer"/>
    <n v="2"/>
  </r>
  <r>
    <s v="ORD-1369"/>
    <s v="2025-05-20"/>
    <x v="7"/>
    <s v="CUST-198"/>
    <s v="Carolyn Lewis"/>
    <x v="0"/>
    <x v="1"/>
    <x v="2"/>
    <x v="8"/>
    <n v="3"/>
    <n v="154.32"/>
    <n v="462.96"/>
    <n v="0.15"/>
    <n v="64.959999999999994"/>
    <s v="PayPal"/>
    <n v="3"/>
  </r>
  <r>
    <s v="ORD-1370"/>
    <s v="2025-10-30"/>
    <x v="1"/>
    <s v="CUST-223"/>
    <s v="Rebecca Swanson"/>
    <x v="0"/>
    <x v="1"/>
    <x v="1"/>
    <x v="15"/>
    <n v="1"/>
    <n v="1178.25"/>
    <n v="1178.25"/>
    <n v="0.05"/>
    <n v="569.20000000000005"/>
    <s v="Card"/>
    <n v="10"/>
  </r>
  <r>
    <s v="ORD-1371"/>
    <s v="2025-03-08"/>
    <x v="5"/>
    <s v="CUST-223"/>
    <s v="Mallory Smith"/>
    <x v="2"/>
    <x v="0"/>
    <x v="2"/>
    <x v="8"/>
    <n v="10"/>
    <n v="54"/>
    <n v="540"/>
    <n v="0.3"/>
    <n v="74.849999999999994"/>
    <s v="PayPal"/>
    <n v="8"/>
  </r>
  <r>
    <s v="ORD-1372"/>
    <s v="2025-12-14"/>
    <x v="4"/>
    <s v="CUST-234"/>
    <s v="Carla Walsh"/>
    <x v="0"/>
    <x v="2"/>
    <x v="1"/>
    <x v="1"/>
    <n v="5"/>
    <n v="792.87"/>
    <n v="3964.35"/>
    <n v="0"/>
    <n v="1063.1300000000001"/>
    <s v="Bank Transfer"/>
    <n v="6"/>
  </r>
  <r>
    <s v="ORD-1373"/>
    <s v="2025-09-04"/>
    <x v="11"/>
    <s v="CUST-188"/>
    <s v="Mary Ramirez"/>
    <x v="0"/>
    <x v="1"/>
    <x v="0"/>
    <x v="5"/>
    <n v="10"/>
    <n v="132.38999999999999"/>
    <n v="1323.9"/>
    <n v="0.3"/>
    <n v="240.34"/>
    <s v="Card"/>
    <n v="9"/>
  </r>
  <r>
    <s v="ORD-1374"/>
    <s v="2025-08-29"/>
    <x v="8"/>
    <s v="CUST-226"/>
    <s v="Zachary Bates"/>
    <x v="1"/>
    <x v="0"/>
    <x v="0"/>
    <x v="0"/>
    <n v="1"/>
    <n v="779.21"/>
    <n v="779.21"/>
    <n v="0.05"/>
    <n v="257.44"/>
    <s v="PayPal"/>
    <n v="6"/>
  </r>
  <r>
    <s v="ORD-1375"/>
    <s v="2025-07-13"/>
    <x v="10"/>
    <s v="CUST-203"/>
    <s v="Vanessa Nguyen"/>
    <x v="1"/>
    <x v="0"/>
    <x v="1"/>
    <x v="11"/>
    <n v="5"/>
    <n v="79.41"/>
    <n v="397.05"/>
    <n v="0.05"/>
    <n v="124.4"/>
    <s v="PayPal"/>
    <n v="8"/>
  </r>
  <r>
    <s v="ORD-1376"/>
    <s v="2025-09-12"/>
    <x v="11"/>
    <s v="CUST-290"/>
    <s v="Anne Roberts"/>
    <x v="0"/>
    <x v="0"/>
    <x v="0"/>
    <x v="7"/>
    <n v="2"/>
    <n v="1030.78"/>
    <n v="2061.56"/>
    <n v="0.15"/>
    <n v="742.24"/>
    <s v="Card"/>
    <n v="7"/>
  </r>
  <r>
    <s v="ORD-1377"/>
    <s v="2025-11-13"/>
    <x v="6"/>
    <s v="CUST-263"/>
    <s v="Tiffany Bullock"/>
    <x v="2"/>
    <x v="2"/>
    <x v="2"/>
    <x v="6"/>
    <n v="9"/>
    <n v="667.94"/>
    <n v="6011.46"/>
    <n v="0"/>
    <n v="1402.39"/>
    <s v="Bank Transfer"/>
    <n v="8"/>
  </r>
  <r>
    <s v="ORD-1378"/>
    <s v="2025-11-14"/>
    <x v="6"/>
    <s v="CUST-253"/>
    <s v="Stephanie Holmes"/>
    <x v="2"/>
    <x v="3"/>
    <x v="2"/>
    <x v="8"/>
    <n v="1"/>
    <n v="983.57"/>
    <n v="983.57"/>
    <n v="0.15"/>
    <n v="348.8"/>
    <s v="Bank Transfer"/>
    <n v="8"/>
  </r>
  <r>
    <s v="ORD-1379"/>
    <s v="2025-05-30"/>
    <x v="7"/>
    <s v="CUST-240"/>
    <s v="Stephen Gonzalez"/>
    <x v="0"/>
    <x v="3"/>
    <x v="1"/>
    <x v="1"/>
    <n v="4"/>
    <n v="22.59"/>
    <n v="90.36"/>
    <n v="0.1"/>
    <n v="17.73"/>
    <s v="Bank Transfer"/>
    <n v="2"/>
  </r>
  <r>
    <s v="ORD-1380"/>
    <s v="2025-07-29"/>
    <x v="10"/>
    <s v="CUST-127"/>
    <s v="Matthew Cruz"/>
    <x v="2"/>
    <x v="2"/>
    <x v="1"/>
    <x v="15"/>
    <n v="8"/>
    <n v="185.73"/>
    <n v="1485.84"/>
    <n v="0.3"/>
    <n v="263.14"/>
    <s v="Card"/>
    <n v="2"/>
  </r>
  <r>
    <s v="ORD-1381"/>
    <s v="2025-02-25"/>
    <x v="0"/>
    <s v="CUST-293"/>
    <s v="Wendy Welch"/>
    <x v="2"/>
    <x v="0"/>
    <x v="2"/>
    <x v="12"/>
    <n v="8"/>
    <n v="992.97"/>
    <n v="7943.76"/>
    <n v="0.05"/>
    <n v="1986.9"/>
    <s v="Bank Transfer"/>
    <n v="10"/>
  </r>
  <r>
    <s v="ORD-1382"/>
    <s v="2025-09-13"/>
    <x v="11"/>
    <s v="CUST-101"/>
    <s v="Jeffrey Cunningham"/>
    <x v="0"/>
    <x v="0"/>
    <x v="1"/>
    <x v="3"/>
    <n v="8"/>
    <n v="796.98"/>
    <n v="6375.84"/>
    <n v="0.2"/>
    <n v="2530.6799999999998"/>
    <s v="Bank Transfer"/>
    <n v="7"/>
  </r>
  <r>
    <s v="ORD-1383"/>
    <s v="2025-03-30"/>
    <x v="5"/>
    <s v="CUST-287"/>
    <s v="Thomas Richardson"/>
    <x v="1"/>
    <x v="0"/>
    <x v="0"/>
    <x v="7"/>
    <n v="9"/>
    <n v="941.68"/>
    <n v="8475.1200000000008"/>
    <n v="0.05"/>
    <n v="2200.2199999999998"/>
    <s v="PayPal"/>
    <n v="10"/>
  </r>
  <r>
    <s v="ORD-1384"/>
    <s v="2025-12-21"/>
    <x v="4"/>
    <s v="CUST-295"/>
    <s v="Jennifer Armstrong"/>
    <x v="1"/>
    <x v="3"/>
    <x v="0"/>
    <x v="2"/>
    <n v="9"/>
    <n v="1060.04"/>
    <n v="9540.36"/>
    <n v="0.15"/>
    <n v="1282.8900000000001"/>
    <s v="PayPal"/>
    <n v="6"/>
  </r>
  <r>
    <s v="ORD-1385"/>
    <s v="2025-09-20"/>
    <x v="11"/>
    <s v="CUST-176"/>
    <s v="Justin Young"/>
    <x v="0"/>
    <x v="3"/>
    <x v="2"/>
    <x v="13"/>
    <n v="3"/>
    <n v="183.05"/>
    <n v="549.15"/>
    <n v="0.2"/>
    <n v="118.61"/>
    <s v="Bank Transfer"/>
    <n v="9"/>
  </r>
  <r>
    <s v="ORD-1386"/>
    <s v="2025-06-26"/>
    <x v="2"/>
    <s v="CUST-272"/>
    <s v="Jerry Fernandez"/>
    <x v="1"/>
    <x v="2"/>
    <x v="0"/>
    <x v="10"/>
    <n v="4"/>
    <n v="267.45999999999998"/>
    <n v="1069.8399999999999"/>
    <n v="0.3"/>
    <n v="324.83999999999997"/>
    <s v="Bank Transfer"/>
    <n v="9"/>
  </r>
  <r>
    <s v="ORD-1387"/>
    <s v="2025-10-20"/>
    <x v="1"/>
    <s v="CUST-270"/>
    <s v="Candace Gray"/>
    <x v="0"/>
    <x v="1"/>
    <x v="0"/>
    <x v="2"/>
    <n v="2"/>
    <n v="917.71"/>
    <n v="1835.42"/>
    <n v="0.2"/>
    <n v="525.45000000000005"/>
    <s v="Bank Transfer"/>
    <n v="9"/>
  </r>
  <r>
    <s v="ORD-1388"/>
    <s v="2025-01-28"/>
    <x v="3"/>
    <s v="CUST-271"/>
    <s v="Andre Compton"/>
    <x v="1"/>
    <x v="2"/>
    <x v="2"/>
    <x v="13"/>
    <n v="1"/>
    <n v="636.82000000000005"/>
    <n v="636.82000000000005"/>
    <n v="0"/>
    <n v="253.23"/>
    <s v="PayPal"/>
    <n v="3"/>
  </r>
  <r>
    <s v="ORD-1389"/>
    <s v="2025-04-15"/>
    <x v="9"/>
    <s v="CUST-292"/>
    <s v="Darlene Mckinney"/>
    <x v="0"/>
    <x v="0"/>
    <x v="2"/>
    <x v="8"/>
    <n v="3"/>
    <n v="1010.47"/>
    <n v="3031.41"/>
    <n v="0.3"/>
    <n v="501.33"/>
    <s v="PayPal"/>
    <n v="8"/>
  </r>
  <r>
    <s v="ORD-1390"/>
    <s v="2025-07-19"/>
    <x v="10"/>
    <s v="CUST-160"/>
    <s v="Arthur Chavez"/>
    <x v="0"/>
    <x v="3"/>
    <x v="1"/>
    <x v="9"/>
    <n v="9"/>
    <n v="1040.51"/>
    <n v="9364.59"/>
    <n v="0.3"/>
    <n v="1908.56"/>
    <s v="Bank Transfer"/>
    <n v="1"/>
  </r>
  <r>
    <s v="ORD-1391"/>
    <s v="2025-10-10"/>
    <x v="1"/>
    <s v="CUST-113"/>
    <s v="Penny Owens"/>
    <x v="1"/>
    <x v="3"/>
    <x v="2"/>
    <x v="13"/>
    <n v="7"/>
    <n v="1148.9100000000001"/>
    <n v="8042.37"/>
    <n v="0.3"/>
    <n v="2392.2600000000002"/>
    <s v="Card"/>
    <n v="10"/>
  </r>
  <r>
    <s v="ORD-1392"/>
    <s v="2025-04-11"/>
    <x v="9"/>
    <s v="CUST-298"/>
    <s v="David Clark DDS"/>
    <x v="0"/>
    <x v="2"/>
    <x v="2"/>
    <x v="12"/>
    <n v="6"/>
    <n v="911.03"/>
    <n v="5466.18"/>
    <n v="0.2"/>
    <n v="1113.44"/>
    <s v="PayPal"/>
    <n v="8"/>
  </r>
  <r>
    <s v="ORD-1393"/>
    <s v="2025-03-03"/>
    <x v="5"/>
    <s v="CUST-196"/>
    <s v="Austin Brown"/>
    <x v="1"/>
    <x v="1"/>
    <x v="1"/>
    <x v="4"/>
    <n v="2"/>
    <n v="240.63"/>
    <n v="481.26"/>
    <n v="0.05"/>
    <n v="117.03"/>
    <s v="PayPal"/>
    <n v="9"/>
  </r>
  <r>
    <s v="ORD-1394"/>
    <s v="2025-08-27"/>
    <x v="8"/>
    <s v="CUST-281"/>
    <s v="Chelsea Chan"/>
    <x v="1"/>
    <x v="0"/>
    <x v="2"/>
    <x v="12"/>
    <n v="3"/>
    <n v="709.1"/>
    <n v="2127.3000000000002"/>
    <n v="0.1"/>
    <n v="1048.69"/>
    <s v="Card"/>
    <n v="6"/>
  </r>
  <r>
    <s v="ORD-1395"/>
    <s v="2025-10-21"/>
    <x v="1"/>
    <s v="CUST-240"/>
    <s v="Mike Turner"/>
    <x v="2"/>
    <x v="0"/>
    <x v="0"/>
    <x v="0"/>
    <n v="10"/>
    <n v="1014.91"/>
    <n v="10149.1"/>
    <n v="0.1"/>
    <n v="3231.49"/>
    <s v="Bank Transfer"/>
    <n v="6"/>
  </r>
  <r>
    <s v="ORD-1396"/>
    <s v="2025-10-06"/>
    <x v="1"/>
    <s v="CUST-237"/>
    <s v="Manuel Lawson"/>
    <x v="2"/>
    <x v="0"/>
    <x v="0"/>
    <x v="10"/>
    <n v="3"/>
    <n v="634.32000000000005"/>
    <n v="1902.96"/>
    <n v="0.2"/>
    <n v="740.25"/>
    <s v="PayPal"/>
    <n v="4"/>
  </r>
  <r>
    <s v="ORD-1397"/>
    <s v="2025-11-13"/>
    <x v="6"/>
    <s v="CUST-235"/>
    <s v="Robert Taylor"/>
    <x v="2"/>
    <x v="0"/>
    <x v="1"/>
    <x v="4"/>
    <n v="6"/>
    <n v="410.66"/>
    <n v="2463.96"/>
    <n v="0.1"/>
    <n v="1025.8900000000001"/>
    <s v="Card"/>
    <n v="6"/>
  </r>
  <r>
    <s v="ORD-1398"/>
    <s v="2025-12-16"/>
    <x v="4"/>
    <s v="CUST-182"/>
    <s v="Heather Myers"/>
    <x v="2"/>
    <x v="0"/>
    <x v="2"/>
    <x v="12"/>
    <n v="10"/>
    <n v="1103.96"/>
    <n v="11039.6"/>
    <n v="0.05"/>
    <n v="1745.57"/>
    <s v="PayPal"/>
    <n v="5"/>
  </r>
  <r>
    <s v="ORD-1399"/>
    <s v="2025-09-18"/>
    <x v="11"/>
    <s v="CUST-214"/>
    <s v="Tara Lopez"/>
    <x v="2"/>
    <x v="0"/>
    <x v="0"/>
    <x v="2"/>
    <n v="1"/>
    <n v="1095.3800000000001"/>
    <n v="1095.3800000000001"/>
    <n v="0.1"/>
    <n v="339.4"/>
    <s v="PayPal"/>
    <n v="4"/>
  </r>
  <r>
    <s v="ORD-1400"/>
    <s v="2025-10-03"/>
    <x v="1"/>
    <s v="CUST-236"/>
    <s v="Ronald Le"/>
    <x v="1"/>
    <x v="0"/>
    <x v="2"/>
    <x v="14"/>
    <n v="2"/>
    <n v="1138.8900000000001"/>
    <n v="2277.7800000000002"/>
    <n v="0.05"/>
    <n v="349.14"/>
    <s v="Card"/>
    <n v="4"/>
  </r>
  <r>
    <s v="ORD-1401"/>
    <s v="2025-08-11"/>
    <x v="8"/>
    <s v="CUST-265"/>
    <s v="Dana Cole"/>
    <x v="1"/>
    <x v="2"/>
    <x v="0"/>
    <x v="7"/>
    <n v="2"/>
    <n v="262.58"/>
    <n v="525.16"/>
    <n v="0.3"/>
    <n v="72.989999999999995"/>
    <s v="Card"/>
    <n v="8"/>
  </r>
  <r>
    <s v="ORD-1402"/>
    <s v="2025-05-09"/>
    <x v="7"/>
    <s v="CUST-242"/>
    <s v="Angel Lopez"/>
    <x v="1"/>
    <x v="2"/>
    <x v="0"/>
    <x v="2"/>
    <n v="1"/>
    <n v="123.27"/>
    <n v="123.27"/>
    <n v="0"/>
    <n v="59.02"/>
    <s v="PayPal"/>
    <n v="7"/>
  </r>
  <r>
    <s v="ORD-1403"/>
    <s v="2025-03-02"/>
    <x v="5"/>
    <s v="CUST-236"/>
    <s v="Jonathan Williams"/>
    <x v="1"/>
    <x v="0"/>
    <x v="2"/>
    <x v="13"/>
    <n v="7"/>
    <n v="530.97"/>
    <n v="3716.79"/>
    <n v="0"/>
    <n v="1465.16"/>
    <s v="Bank Transfer"/>
    <n v="10"/>
  </r>
  <r>
    <s v="ORD-1404"/>
    <s v="2025-12-18"/>
    <x v="4"/>
    <s v="CUST-177"/>
    <s v="Matthew Schmidt"/>
    <x v="0"/>
    <x v="0"/>
    <x v="1"/>
    <x v="4"/>
    <n v="2"/>
    <n v="442.09"/>
    <n v="884.18"/>
    <n v="0.2"/>
    <n v="359.01"/>
    <s v="PayPal"/>
    <n v="8"/>
  </r>
  <r>
    <s v="ORD-1405"/>
    <s v="2025-07-20"/>
    <x v="10"/>
    <s v="CUST-239"/>
    <s v="Kimberly Johnson"/>
    <x v="2"/>
    <x v="2"/>
    <x v="2"/>
    <x v="13"/>
    <n v="1"/>
    <n v="579.30999999999995"/>
    <n v="579.30999999999995"/>
    <n v="0.2"/>
    <n v="214.14"/>
    <s v="PayPal"/>
    <n v="6"/>
  </r>
  <r>
    <s v="ORD-1406"/>
    <s v="2025-11-02"/>
    <x v="6"/>
    <s v="CUST-200"/>
    <s v="Aaron Price"/>
    <x v="0"/>
    <x v="0"/>
    <x v="1"/>
    <x v="9"/>
    <n v="9"/>
    <n v="186.82"/>
    <n v="1681.38"/>
    <n v="0"/>
    <n v="921.38"/>
    <s v="PayPal"/>
    <n v="4"/>
  </r>
  <r>
    <s v="ORD-1407"/>
    <s v="2025-03-14"/>
    <x v="5"/>
    <s v="CUST-141"/>
    <s v="James Washington"/>
    <x v="1"/>
    <x v="2"/>
    <x v="0"/>
    <x v="2"/>
    <n v="4"/>
    <n v="506.93"/>
    <n v="2027.72"/>
    <n v="0.3"/>
    <n v="297.25"/>
    <s v="Bank Transfer"/>
    <n v="5"/>
  </r>
  <r>
    <s v="ORD-1408"/>
    <s v="2025-10-09"/>
    <x v="1"/>
    <s v="CUST-218"/>
    <s v="Kelly Davis"/>
    <x v="0"/>
    <x v="0"/>
    <x v="1"/>
    <x v="1"/>
    <n v="3"/>
    <n v="811.75"/>
    <n v="2435.25"/>
    <n v="0.2"/>
    <n v="407.37"/>
    <s v="PayPal"/>
    <n v="2"/>
  </r>
  <r>
    <s v="ORD-1409"/>
    <s v="2025-07-02"/>
    <x v="10"/>
    <s v="CUST-132"/>
    <s v="Bryan Crosby"/>
    <x v="0"/>
    <x v="2"/>
    <x v="2"/>
    <x v="6"/>
    <n v="4"/>
    <n v="876.2"/>
    <n v="3504.8"/>
    <n v="0.15"/>
    <n v="504.61"/>
    <s v="Card"/>
    <n v="5"/>
  </r>
  <r>
    <s v="ORD-1410"/>
    <s v="2025-12-04"/>
    <x v="4"/>
    <s v="CUST-178"/>
    <s v="Rachel Stewart"/>
    <x v="0"/>
    <x v="2"/>
    <x v="0"/>
    <x v="0"/>
    <n v="4"/>
    <n v="394.99"/>
    <n v="1579.96"/>
    <n v="0.15"/>
    <n v="562.25"/>
    <s v="Bank Transfer"/>
    <n v="10"/>
  </r>
  <r>
    <s v="ORD-1411"/>
    <s v="2025-04-24"/>
    <x v="9"/>
    <s v="CUST-282"/>
    <s v="Marcus Green"/>
    <x v="0"/>
    <x v="1"/>
    <x v="2"/>
    <x v="8"/>
    <n v="7"/>
    <n v="218.99"/>
    <n v="1532.93"/>
    <n v="0.1"/>
    <n v="622.95000000000005"/>
    <s v="PayPal"/>
    <n v="6"/>
  </r>
  <r>
    <s v="ORD-1412"/>
    <s v="2025-06-06"/>
    <x v="2"/>
    <s v="CUST-224"/>
    <s v="Brittany Andrews"/>
    <x v="0"/>
    <x v="0"/>
    <x v="1"/>
    <x v="4"/>
    <n v="6"/>
    <n v="1055.9100000000001"/>
    <n v="6335.46"/>
    <n v="0.15"/>
    <n v="2002.5"/>
    <s v="Card"/>
    <n v="10"/>
  </r>
  <r>
    <s v="ORD-1413"/>
    <s v="2025-11-17"/>
    <x v="6"/>
    <s v="CUST-119"/>
    <s v="David Hahn"/>
    <x v="0"/>
    <x v="0"/>
    <x v="1"/>
    <x v="11"/>
    <n v="3"/>
    <n v="1071.73"/>
    <n v="3215.19"/>
    <n v="0.05"/>
    <n v="1358.32"/>
    <s v="Card"/>
    <n v="9"/>
  </r>
  <r>
    <s v="ORD-1414"/>
    <s v="2025-01-19"/>
    <x v="3"/>
    <s v="CUST-241"/>
    <s v="David Miller"/>
    <x v="2"/>
    <x v="1"/>
    <x v="0"/>
    <x v="0"/>
    <n v="10"/>
    <n v="703.1"/>
    <n v="7031"/>
    <n v="0.2"/>
    <n v="2614.9499999999998"/>
    <s v="Bank Transfer"/>
    <n v="3"/>
  </r>
  <r>
    <s v="ORD-1415"/>
    <s v="2025-05-29"/>
    <x v="7"/>
    <s v="CUST-134"/>
    <s v="William Lynch"/>
    <x v="2"/>
    <x v="0"/>
    <x v="2"/>
    <x v="13"/>
    <n v="4"/>
    <n v="1071.9000000000001"/>
    <n v="4287.6000000000004"/>
    <n v="0.2"/>
    <n v="880.53"/>
    <s v="PayPal"/>
    <n v="6"/>
  </r>
  <r>
    <s v="ORD-1416"/>
    <s v="2025-09-21"/>
    <x v="11"/>
    <s v="CUST-135"/>
    <s v="Tracy Willis"/>
    <x v="2"/>
    <x v="2"/>
    <x v="0"/>
    <x v="0"/>
    <n v="4"/>
    <n v="1020.62"/>
    <n v="4082.48"/>
    <n v="0.2"/>
    <n v="902.51"/>
    <s v="Card"/>
    <n v="10"/>
  </r>
  <r>
    <s v="ORD-1417"/>
    <s v="2025-09-07"/>
    <x v="11"/>
    <s v="CUST-159"/>
    <s v="Samantha Wilson"/>
    <x v="1"/>
    <x v="3"/>
    <x v="0"/>
    <x v="10"/>
    <n v="8"/>
    <n v="1128.23"/>
    <n v="9025.84"/>
    <n v="0"/>
    <n v="4174.2"/>
    <s v="PayPal"/>
    <n v="4"/>
  </r>
  <r>
    <s v="ORD-1418"/>
    <s v="2025-08-21"/>
    <x v="8"/>
    <s v="CUST-111"/>
    <s v="Erin Small"/>
    <x v="1"/>
    <x v="3"/>
    <x v="1"/>
    <x v="4"/>
    <n v="4"/>
    <n v="631.1"/>
    <n v="2524.4"/>
    <n v="0.1"/>
    <n v="896.89"/>
    <s v="Card"/>
    <n v="9"/>
  </r>
  <r>
    <s v="ORD-1419"/>
    <s v="2025-12-01"/>
    <x v="4"/>
    <s v="CUST-196"/>
    <s v="Evan Williams"/>
    <x v="2"/>
    <x v="0"/>
    <x v="0"/>
    <x v="2"/>
    <n v="5"/>
    <n v="702.79"/>
    <n v="3513.95"/>
    <n v="0.2"/>
    <n v="1350.65"/>
    <s v="Bank Transfer"/>
    <n v="5"/>
  </r>
  <r>
    <s v="ORD-1420"/>
    <s v="2025-09-04"/>
    <x v="11"/>
    <s v="CUST-254"/>
    <s v="Ryan Mccarthy"/>
    <x v="1"/>
    <x v="2"/>
    <x v="2"/>
    <x v="12"/>
    <n v="9"/>
    <n v="498.89"/>
    <n v="4490.01"/>
    <n v="0.1"/>
    <n v="1435.59"/>
    <s v="PayPal"/>
    <n v="3"/>
  </r>
  <r>
    <s v="ORD-1421"/>
    <s v="2025-03-22"/>
    <x v="5"/>
    <s v="CUST-192"/>
    <s v="Mary Taylor"/>
    <x v="0"/>
    <x v="0"/>
    <x v="1"/>
    <x v="1"/>
    <n v="9"/>
    <n v="779.3"/>
    <n v="7013.7"/>
    <n v="0.05"/>
    <n v="3264.24"/>
    <s v="Bank Transfer"/>
    <n v="4"/>
  </r>
  <r>
    <s v="ORD-1422"/>
    <s v="2025-10-30"/>
    <x v="1"/>
    <s v="CUST-141"/>
    <s v="Anna Price"/>
    <x v="0"/>
    <x v="1"/>
    <x v="2"/>
    <x v="8"/>
    <n v="2"/>
    <n v="588.19000000000005"/>
    <n v="1176.3800000000001"/>
    <n v="0.15"/>
    <n v="358.36"/>
    <s v="Card"/>
    <n v="4"/>
  </r>
  <r>
    <s v="ORD-1423"/>
    <s v="2025-01-21"/>
    <x v="3"/>
    <s v="CUST-246"/>
    <s v="Katherine Carroll"/>
    <x v="1"/>
    <x v="0"/>
    <x v="1"/>
    <x v="15"/>
    <n v="10"/>
    <n v="718.97"/>
    <n v="7189.7"/>
    <n v="0.05"/>
    <n v="2036.66"/>
    <s v="Card"/>
    <n v="5"/>
  </r>
  <r>
    <s v="ORD-1424"/>
    <s v="2025-12-05"/>
    <x v="4"/>
    <s v="CUST-172"/>
    <s v="Jennifer Mccoy"/>
    <x v="1"/>
    <x v="2"/>
    <x v="1"/>
    <x v="9"/>
    <n v="7"/>
    <n v="727.24"/>
    <n v="5090.68"/>
    <n v="0.2"/>
    <n v="1201.2"/>
    <s v="PayPal"/>
    <n v="10"/>
  </r>
  <r>
    <s v="ORD-1425"/>
    <s v="2025-10-26"/>
    <x v="1"/>
    <s v="CUST-296"/>
    <s v="Janet Yang"/>
    <x v="1"/>
    <x v="3"/>
    <x v="2"/>
    <x v="13"/>
    <n v="3"/>
    <n v="278.85000000000002"/>
    <n v="836.55"/>
    <n v="0.15"/>
    <n v="220.19"/>
    <s v="Card"/>
    <n v="6"/>
  </r>
  <r>
    <s v="ORD-1426"/>
    <s v="2025-02-25"/>
    <x v="0"/>
    <s v="CUST-104"/>
    <s v="Joyce Brown"/>
    <x v="1"/>
    <x v="1"/>
    <x v="2"/>
    <x v="14"/>
    <n v="10"/>
    <n v="101.23"/>
    <n v="1012.3"/>
    <n v="0.15"/>
    <n v="340.58"/>
    <s v="Card"/>
    <n v="10"/>
  </r>
  <r>
    <s v="ORD-1427"/>
    <s v="2025-09-30"/>
    <x v="11"/>
    <s v="CUST-228"/>
    <s v="Jason Mcpherson"/>
    <x v="1"/>
    <x v="0"/>
    <x v="1"/>
    <x v="15"/>
    <n v="8"/>
    <n v="1083.9000000000001"/>
    <n v="8671.2000000000007"/>
    <n v="0.2"/>
    <n v="3707.01"/>
    <s v="PayPal"/>
    <n v="3"/>
  </r>
  <r>
    <s v="ORD-1428"/>
    <s v="2025-09-25"/>
    <x v="11"/>
    <s v="CUST-207"/>
    <s v="Michael Turner"/>
    <x v="2"/>
    <x v="0"/>
    <x v="0"/>
    <x v="5"/>
    <n v="1"/>
    <n v="1078.42"/>
    <n v="1078.42"/>
    <n v="0.3"/>
    <n v="219.15"/>
    <s v="Bank Transfer"/>
    <n v="9"/>
  </r>
  <r>
    <s v="ORD-1429"/>
    <s v="2025-12-23"/>
    <x v="4"/>
    <s v="CUST-247"/>
    <s v="Emily Perez"/>
    <x v="1"/>
    <x v="1"/>
    <x v="2"/>
    <x v="12"/>
    <n v="8"/>
    <n v="951.68"/>
    <n v="7613.44"/>
    <n v="0.15"/>
    <n v="2651.94"/>
    <s v="Card"/>
    <n v="5"/>
  </r>
  <r>
    <s v="ORD-1430"/>
    <s v="2025-04-07"/>
    <x v="9"/>
    <s v="CUST-101"/>
    <s v="Peter Leblanc"/>
    <x v="0"/>
    <x v="0"/>
    <x v="2"/>
    <x v="12"/>
    <n v="2"/>
    <n v="354.25"/>
    <n v="708.5"/>
    <n v="0.2"/>
    <n v="219.09"/>
    <s v="Bank Transfer"/>
    <n v="9"/>
  </r>
  <r>
    <s v="ORD-1431"/>
    <s v="2025-06-11"/>
    <x v="2"/>
    <s v="CUST-204"/>
    <s v="Richard Williams"/>
    <x v="2"/>
    <x v="0"/>
    <x v="1"/>
    <x v="9"/>
    <n v="1"/>
    <n v="462.54"/>
    <n v="462.54"/>
    <n v="0.05"/>
    <n v="120.79"/>
    <s v="Card"/>
    <n v="7"/>
  </r>
  <r>
    <s v="ORD-1432"/>
    <s v="2025-07-07"/>
    <x v="10"/>
    <s v="CUST-256"/>
    <s v="Sean Shannon"/>
    <x v="2"/>
    <x v="1"/>
    <x v="0"/>
    <x v="5"/>
    <n v="5"/>
    <n v="328.34"/>
    <n v="1641.7"/>
    <n v="0.2"/>
    <n v="499.83"/>
    <s v="Card"/>
    <n v="7"/>
  </r>
  <r>
    <s v="ORD-1433"/>
    <s v="2025-05-10"/>
    <x v="7"/>
    <s v="CUST-178"/>
    <s v="Samantha Lee"/>
    <x v="0"/>
    <x v="3"/>
    <x v="0"/>
    <x v="5"/>
    <n v="8"/>
    <n v="230.89"/>
    <n v="1847.12"/>
    <n v="0.2"/>
    <n v="484.74"/>
    <s v="Bank Transfer"/>
    <n v="7"/>
  </r>
  <r>
    <s v="ORD-1434"/>
    <s v="2025-03-24"/>
    <x v="5"/>
    <s v="CUST-125"/>
    <s v="Juan Smith"/>
    <x v="1"/>
    <x v="1"/>
    <x v="0"/>
    <x v="10"/>
    <n v="2"/>
    <n v="902.42"/>
    <n v="1804.84"/>
    <n v="0.15"/>
    <n v="363.21"/>
    <s v="PayPal"/>
    <n v="9"/>
  </r>
  <r>
    <s v="ORD-1435"/>
    <s v="2025-02-16"/>
    <x v="0"/>
    <s v="CUST-137"/>
    <s v="Daniel Powell"/>
    <x v="2"/>
    <x v="1"/>
    <x v="0"/>
    <x v="0"/>
    <n v="3"/>
    <n v="479.14"/>
    <n v="1437.42"/>
    <n v="0.3"/>
    <n v="551.28"/>
    <s v="Card"/>
    <n v="2"/>
  </r>
  <r>
    <s v="ORD-1436"/>
    <s v="2025-07-25"/>
    <x v="10"/>
    <s v="CUST-257"/>
    <s v="Alexandra Garcia"/>
    <x v="0"/>
    <x v="3"/>
    <x v="2"/>
    <x v="12"/>
    <n v="6"/>
    <n v="114.45"/>
    <n v="686.7"/>
    <n v="0"/>
    <n v="178.68"/>
    <s v="Bank Transfer"/>
    <n v="10"/>
  </r>
  <r>
    <s v="ORD-1437"/>
    <s v="2025-09-23"/>
    <x v="11"/>
    <s v="CUST-173"/>
    <s v="Nathaniel Case"/>
    <x v="1"/>
    <x v="0"/>
    <x v="1"/>
    <x v="15"/>
    <n v="8"/>
    <n v="537.99"/>
    <n v="4303.92"/>
    <n v="0.05"/>
    <n v="857.7"/>
    <s v="Bank Transfer"/>
    <n v="9"/>
  </r>
  <r>
    <s v="ORD-1438"/>
    <s v="2025-12-02"/>
    <x v="4"/>
    <s v="CUST-100"/>
    <s v="Kevin Smith"/>
    <x v="1"/>
    <x v="0"/>
    <x v="0"/>
    <x v="10"/>
    <n v="10"/>
    <n v="219.99"/>
    <n v="2199.9"/>
    <n v="0"/>
    <n v="893.39"/>
    <s v="PayPal"/>
    <n v="7"/>
  </r>
  <r>
    <s v="ORD-1439"/>
    <s v="2025-12-27"/>
    <x v="4"/>
    <s v="CUST-117"/>
    <s v="Mr. Timothy Harmon"/>
    <x v="1"/>
    <x v="3"/>
    <x v="2"/>
    <x v="13"/>
    <n v="7"/>
    <n v="711.57"/>
    <n v="4980.99"/>
    <n v="0.2"/>
    <n v="2167.14"/>
    <s v="Bank Transfer"/>
    <n v="9"/>
  </r>
  <r>
    <s v="ORD-1440"/>
    <s v="2025-04-10"/>
    <x v="9"/>
    <s v="CUST-216"/>
    <s v="Kristin Chapman"/>
    <x v="2"/>
    <x v="0"/>
    <x v="0"/>
    <x v="2"/>
    <n v="6"/>
    <n v="1156.68"/>
    <n v="6940.08"/>
    <n v="0.1"/>
    <n v="2869.96"/>
    <s v="PayPal"/>
    <n v="3"/>
  </r>
  <r>
    <s v="ORD-1441"/>
    <s v="2025-03-01"/>
    <x v="5"/>
    <s v="CUST-231"/>
    <s v="Wendy Contreras"/>
    <x v="2"/>
    <x v="3"/>
    <x v="2"/>
    <x v="14"/>
    <n v="2"/>
    <n v="679.18"/>
    <n v="1358.36"/>
    <n v="0.2"/>
    <n v="469.77"/>
    <s v="Bank Transfer"/>
    <n v="8"/>
  </r>
  <r>
    <s v="ORD-1442"/>
    <s v="2025-08-23"/>
    <x v="8"/>
    <s v="CUST-274"/>
    <s v="Mark Chambers"/>
    <x v="2"/>
    <x v="0"/>
    <x v="2"/>
    <x v="14"/>
    <n v="8"/>
    <n v="928.56"/>
    <n v="7428.48"/>
    <n v="0.1"/>
    <n v="1106.5"/>
    <s v="PayPal"/>
    <n v="2"/>
  </r>
  <r>
    <s v="ORD-1443"/>
    <s v="2025-04-28"/>
    <x v="9"/>
    <s v="CUST-180"/>
    <s v="Jeffrey Glover"/>
    <x v="2"/>
    <x v="3"/>
    <x v="2"/>
    <x v="6"/>
    <n v="7"/>
    <n v="767.72"/>
    <n v="5374.04"/>
    <n v="0.05"/>
    <n v="1425.59"/>
    <s v="Bank Transfer"/>
    <n v="9"/>
  </r>
  <r>
    <s v="ORD-1444"/>
    <s v="2025-06-25"/>
    <x v="2"/>
    <s v="CUST-119"/>
    <s v="Chad Anderson"/>
    <x v="0"/>
    <x v="2"/>
    <x v="1"/>
    <x v="4"/>
    <n v="5"/>
    <n v="312.94"/>
    <n v="1564.7"/>
    <n v="0"/>
    <n v="610.9"/>
    <s v="PayPal"/>
    <n v="6"/>
  </r>
  <r>
    <s v="ORD-1445"/>
    <s v="2025-04-08"/>
    <x v="9"/>
    <s v="CUST-227"/>
    <s v="William Cook"/>
    <x v="0"/>
    <x v="2"/>
    <x v="2"/>
    <x v="12"/>
    <n v="10"/>
    <n v="337.51"/>
    <n v="3375.1"/>
    <n v="0.3"/>
    <n v="653.86"/>
    <s v="Card"/>
    <n v="4"/>
  </r>
  <r>
    <s v="ORD-1446"/>
    <s v="2025-07-02"/>
    <x v="10"/>
    <s v="CUST-139"/>
    <s v="David Russell"/>
    <x v="1"/>
    <x v="0"/>
    <x v="2"/>
    <x v="12"/>
    <n v="4"/>
    <n v="259.26"/>
    <n v="1037.04"/>
    <n v="0.05"/>
    <n v="212.27"/>
    <s v="Card"/>
    <n v="8"/>
  </r>
  <r>
    <s v="ORD-1447"/>
    <s v="2025-06-11"/>
    <x v="2"/>
    <s v="CUST-226"/>
    <s v="Adam Sanders"/>
    <x v="0"/>
    <x v="3"/>
    <x v="0"/>
    <x v="0"/>
    <n v="9"/>
    <n v="1150.43"/>
    <n v="10353.870000000001"/>
    <n v="0.15"/>
    <n v="3533.71"/>
    <s v="PayPal"/>
    <n v="3"/>
  </r>
  <r>
    <s v="ORD-1448"/>
    <s v="2025-09-27"/>
    <x v="11"/>
    <s v="CUST-208"/>
    <s v="Kenneth Rodriguez"/>
    <x v="2"/>
    <x v="0"/>
    <x v="0"/>
    <x v="2"/>
    <n v="7"/>
    <n v="282.07"/>
    <n v="1974.49"/>
    <n v="0.2"/>
    <n v="787.75"/>
    <s v="Bank Transfer"/>
    <n v="6"/>
  </r>
  <r>
    <s v="ORD-1449"/>
    <s v="2025-06-11"/>
    <x v="2"/>
    <s v="CUST-276"/>
    <s v="Karen Richardson"/>
    <x v="1"/>
    <x v="0"/>
    <x v="2"/>
    <x v="12"/>
    <n v="8"/>
    <n v="1172.28"/>
    <n v="9378.24"/>
    <n v="0.3"/>
    <n v="2249.86"/>
    <s v="Bank Transfer"/>
    <n v="4"/>
  </r>
  <r>
    <s v="ORD-1450"/>
    <s v="2025-04-06"/>
    <x v="9"/>
    <s v="CUST-240"/>
    <s v="Mary Acosta"/>
    <x v="2"/>
    <x v="2"/>
    <x v="2"/>
    <x v="14"/>
    <n v="2"/>
    <n v="404.01"/>
    <n v="808.02"/>
    <n v="0.2"/>
    <n v="132.69"/>
    <s v="PayPal"/>
    <n v="8"/>
  </r>
  <r>
    <s v="ORD-1451"/>
    <s v="2025-12-25"/>
    <x v="4"/>
    <s v="CUST-292"/>
    <s v="Amy Johnson"/>
    <x v="2"/>
    <x v="3"/>
    <x v="0"/>
    <x v="2"/>
    <n v="6"/>
    <n v="237.02"/>
    <n v="1422.12"/>
    <n v="0.15"/>
    <n v="563.04"/>
    <s v="PayPal"/>
    <n v="5"/>
  </r>
  <r>
    <s v="ORD-1452"/>
    <s v="2025-02-21"/>
    <x v="0"/>
    <s v="CUST-284"/>
    <s v="Mark Gilbert"/>
    <x v="2"/>
    <x v="2"/>
    <x v="2"/>
    <x v="12"/>
    <n v="10"/>
    <n v="174.74"/>
    <n v="1747.4"/>
    <n v="0.2"/>
    <n v="385.26"/>
    <s v="Bank Transfer"/>
    <n v="7"/>
  </r>
  <r>
    <s v="ORD-1453"/>
    <s v="2025-01-05"/>
    <x v="3"/>
    <s v="CUST-145"/>
    <s v="Cristina Brewer"/>
    <x v="2"/>
    <x v="1"/>
    <x v="2"/>
    <x v="12"/>
    <n v="3"/>
    <n v="964.04"/>
    <n v="2892.12"/>
    <n v="0.3"/>
    <n v="992.36"/>
    <s v="Card"/>
    <n v="9"/>
  </r>
  <r>
    <s v="ORD-1454"/>
    <s v="2025-01-25"/>
    <x v="3"/>
    <s v="CUST-201"/>
    <s v="Erik Larson"/>
    <x v="1"/>
    <x v="2"/>
    <x v="0"/>
    <x v="2"/>
    <n v="8"/>
    <n v="374.04"/>
    <n v="2992.32"/>
    <n v="0.2"/>
    <n v="494.57"/>
    <s v="Card"/>
    <n v="4"/>
  </r>
  <r>
    <s v="ORD-1455"/>
    <s v="2025-07-04"/>
    <x v="10"/>
    <s v="CUST-243"/>
    <s v="Madison Hess"/>
    <x v="0"/>
    <x v="3"/>
    <x v="2"/>
    <x v="13"/>
    <n v="2"/>
    <n v="550.83000000000004"/>
    <n v="1101.6600000000001"/>
    <n v="0.1"/>
    <n v="442.3"/>
    <s v="PayPal"/>
    <n v="1"/>
  </r>
  <r>
    <s v="ORD-1456"/>
    <s v="2025-10-22"/>
    <x v="1"/>
    <s v="CUST-266"/>
    <s v="Ryan Olson"/>
    <x v="0"/>
    <x v="2"/>
    <x v="2"/>
    <x v="6"/>
    <n v="6"/>
    <n v="1043.49"/>
    <n v="6260.94"/>
    <n v="0.2"/>
    <n v="2356.1999999999998"/>
    <s v="PayPal"/>
    <n v="6"/>
  </r>
  <r>
    <s v="ORD-1457"/>
    <s v="2025-07-15"/>
    <x v="10"/>
    <s v="CUST-257"/>
    <s v="Dr. Morgan Kent"/>
    <x v="2"/>
    <x v="1"/>
    <x v="2"/>
    <x v="14"/>
    <n v="8"/>
    <n v="934.2"/>
    <n v="7473.6"/>
    <n v="0.15"/>
    <n v="1233.33"/>
    <s v="Bank Transfer"/>
    <n v="3"/>
  </r>
  <r>
    <s v="ORD-1458"/>
    <s v="2025-02-06"/>
    <x v="0"/>
    <s v="CUST-120"/>
    <s v="Jennifer Phillips"/>
    <x v="1"/>
    <x v="3"/>
    <x v="1"/>
    <x v="4"/>
    <n v="6"/>
    <n v="517.74"/>
    <n v="3106.44"/>
    <n v="0.2"/>
    <n v="798.59"/>
    <s v="Card"/>
    <n v="6"/>
  </r>
  <r>
    <s v="ORD-1459"/>
    <s v="2025-08-16"/>
    <x v="8"/>
    <s v="CUST-299"/>
    <s v="Robert Holland"/>
    <x v="2"/>
    <x v="1"/>
    <x v="2"/>
    <x v="8"/>
    <n v="5"/>
    <n v="734.35"/>
    <n v="3671.75"/>
    <n v="0.15"/>
    <n v="1377.92"/>
    <s v="PayPal"/>
    <n v="3"/>
  </r>
  <r>
    <s v="ORD-1460"/>
    <s v="2025-12-25"/>
    <x v="4"/>
    <s v="CUST-291"/>
    <s v="Joseph Soto"/>
    <x v="1"/>
    <x v="2"/>
    <x v="1"/>
    <x v="1"/>
    <n v="3"/>
    <n v="878.77"/>
    <n v="2636.31"/>
    <n v="0.3"/>
    <n v="829.22"/>
    <s v="Card"/>
    <n v="7"/>
  </r>
  <r>
    <s v="ORD-1461"/>
    <s v="2025-01-14"/>
    <x v="3"/>
    <s v="CUST-297"/>
    <s v="Kaylee Jennings"/>
    <x v="2"/>
    <x v="0"/>
    <x v="1"/>
    <x v="1"/>
    <n v="2"/>
    <n v="1125.42"/>
    <n v="2250.84"/>
    <n v="0.15"/>
    <n v="632.55999999999995"/>
    <s v="Card"/>
    <n v="5"/>
  </r>
  <r>
    <s v="ORD-1462"/>
    <s v="2025-05-07"/>
    <x v="7"/>
    <s v="CUST-288"/>
    <s v="Samuel Roberts"/>
    <x v="2"/>
    <x v="1"/>
    <x v="0"/>
    <x v="10"/>
    <n v="2"/>
    <n v="792.7"/>
    <n v="1585.4"/>
    <n v="0.15"/>
    <n v="574.41"/>
    <s v="Bank Transfer"/>
    <n v="3"/>
  </r>
  <r>
    <s v="ORD-1463"/>
    <s v="2025-06-16"/>
    <x v="2"/>
    <s v="CUST-221"/>
    <s v="Toni Freeman"/>
    <x v="2"/>
    <x v="3"/>
    <x v="1"/>
    <x v="9"/>
    <n v="3"/>
    <n v="53.71"/>
    <n v="161.13"/>
    <n v="0.3"/>
    <n v="45.94"/>
    <s v="Bank Transfer"/>
    <n v="8"/>
  </r>
  <r>
    <s v="ORD-1464"/>
    <s v="2025-11-22"/>
    <x v="6"/>
    <s v="CUST-244"/>
    <s v="David Todd"/>
    <x v="2"/>
    <x v="3"/>
    <x v="1"/>
    <x v="4"/>
    <n v="9"/>
    <n v="228.9"/>
    <n v="2060.1"/>
    <n v="0.2"/>
    <n v="605.48"/>
    <s v="PayPal"/>
    <n v="8"/>
  </r>
  <r>
    <s v="ORD-1465"/>
    <s v="2025-03-21"/>
    <x v="5"/>
    <s v="CUST-177"/>
    <s v="James Clark"/>
    <x v="1"/>
    <x v="0"/>
    <x v="0"/>
    <x v="10"/>
    <n v="2"/>
    <n v="541.4"/>
    <n v="1082.8"/>
    <n v="0.1"/>
    <n v="375.31"/>
    <s v="Bank Transfer"/>
    <n v="3"/>
  </r>
  <r>
    <s v="ORD-1466"/>
    <s v="2025-09-02"/>
    <x v="11"/>
    <s v="CUST-176"/>
    <s v="Angela Odonnell"/>
    <x v="1"/>
    <x v="1"/>
    <x v="2"/>
    <x v="8"/>
    <n v="8"/>
    <n v="651.41999999999996"/>
    <n v="5211.3599999999997"/>
    <n v="0.3"/>
    <n v="660.88"/>
    <s v="PayPal"/>
    <n v="10"/>
  </r>
  <r>
    <s v="ORD-1467"/>
    <s v="2025-08-12"/>
    <x v="8"/>
    <s v="CUST-201"/>
    <s v="Parker Moyer"/>
    <x v="1"/>
    <x v="2"/>
    <x v="1"/>
    <x v="1"/>
    <n v="9"/>
    <n v="460.9"/>
    <n v="4148.1000000000004"/>
    <n v="0.15"/>
    <n v="695.08"/>
    <s v="Bank Transfer"/>
    <n v="7"/>
  </r>
  <r>
    <s v="ORD-1468"/>
    <s v="2025-11-10"/>
    <x v="6"/>
    <s v="CUST-277"/>
    <s v="Christopher Hall"/>
    <x v="0"/>
    <x v="3"/>
    <x v="2"/>
    <x v="12"/>
    <n v="5"/>
    <n v="113.47"/>
    <n v="567.35"/>
    <n v="0.3"/>
    <n v="180.37"/>
    <s v="PayPal"/>
    <n v="9"/>
  </r>
  <r>
    <s v="ORD-1469"/>
    <s v="2025-02-26"/>
    <x v="0"/>
    <s v="CUST-263"/>
    <s v="Ryan Fernandez"/>
    <x v="2"/>
    <x v="1"/>
    <x v="2"/>
    <x v="13"/>
    <n v="4"/>
    <n v="1027.1099999999999"/>
    <n v="4108.4399999999996"/>
    <n v="0.05"/>
    <n v="1933.36"/>
    <s v="PayPal"/>
    <n v="10"/>
  </r>
  <r>
    <s v="ORD-1470"/>
    <s v="2025-01-12"/>
    <x v="3"/>
    <s v="CUST-147"/>
    <s v="Anthony Wood"/>
    <x v="1"/>
    <x v="3"/>
    <x v="2"/>
    <x v="12"/>
    <n v="6"/>
    <n v="42.89"/>
    <n v="257.33999999999997"/>
    <n v="0"/>
    <n v="41.72"/>
    <s v="PayPal"/>
    <n v="3"/>
  </r>
  <r>
    <s v="ORD-1471"/>
    <s v="2025-04-22"/>
    <x v="9"/>
    <s v="CUST-187"/>
    <s v="Nicole Williams"/>
    <x v="2"/>
    <x v="3"/>
    <x v="0"/>
    <x v="7"/>
    <n v="1"/>
    <n v="294.72000000000003"/>
    <n v="294.72000000000003"/>
    <n v="0.05"/>
    <n v="152.34"/>
    <s v="PayPal"/>
    <n v="6"/>
  </r>
  <r>
    <s v="ORD-1472"/>
    <s v="2025-07-20"/>
    <x v="10"/>
    <s v="CUST-118"/>
    <s v="Elizabeth Hart"/>
    <x v="0"/>
    <x v="1"/>
    <x v="2"/>
    <x v="6"/>
    <n v="6"/>
    <n v="114.66"/>
    <n v="687.96"/>
    <n v="0.05"/>
    <n v="344.81"/>
    <s v="Card"/>
    <n v="4"/>
  </r>
  <r>
    <s v="ORD-1473"/>
    <s v="2025-08-15"/>
    <x v="8"/>
    <s v="CUST-163"/>
    <s v="Oscar Fischer"/>
    <x v="0"/>
    <x v="0"/>
    <x v="2"/>
    <x v="13"/>
    <n v="1"/>
    <n v="163.91"/>
    <n v="163.91"/>
    <n v="0.3"/>
    <n v="51.68"/>
    <s v="Card"/>
    <n v="8"/>
  </r>
  <r>
    <s v="ORD-1474"/>
    <s v="2025-12-15"/>
    <x v="4"/>
    <s v="CUST-179"/>
    <s v="Tina Robinson"/>
    <x v="2"/>
    <x v="2"/>
    <x v="0"/>
    <x v="0"/>
    <n v="9"/>
    <n v="805.89"/>
    <n v="7253.01"/>
    <n v="0.05"/>
    <n v="2486.52"/>
    <s v="Bank Transfer"/>
    <n v="1"/>
  </r>
  <r>
    <s v="ORD-1475"/>
    <s v="2025-04-12"/>
    <x v="9"/>
    <s v="CUST-192"/>
    <s v="Sheila Ramos"/>
    <x v="1"/>
    <x v="2"/>
    <x v="0"/>
    <x v="5"/>
    <n v="9"/>
    <n v="164.13"/>
    <n v="1477.17"/>
    <n v="0.15"/>
    <n v="369.89"/>
    <s v="Card"/>
    <n v="4"/>
  </r>
  <r>
    <s v="ORD-1476"/>
    <s v="2025-07-22"/>
    <x v="10"/>
    <s v="CUST-162"/>
    <s v="Deanna Gutierrez"/>
    <x v="1"/>
    <x v="0"/>
    <x v="0"/>
    <x v="7"/>
    <n v="6"/>
    <n v="37.78"/>
    <n v="226.68"/>
    <n v="0.1"/>
    <n v="64.489999999999995"/>
    <s v="Bank Transfer"/>
    <n v="8"/>
  </r>
  <r>
    <s v="ORD-1477"/>
    <s v="2025-09-13"/>
    <x v="11"/>
    <s v="CUST-123"/>
    <s v="Wesley Murray"/>
    <x v="0"/>
    <x v="3"/>
    <x v="0"/>
    <x v="5"/>
    <n v="3"/>
    <n v="458.25"/>
    <n v="1374.75"/>
    <n v="0"/>
    <n v="619.34"/>
    <s v="Bank Transfer"/>
    <n v="1"/>
  </r>
  <r>
    <s v="ORD-1478"/>
    <s v="2025-04-30"/>
    <x v="9"/>
    <s v="CUST-181"/>
    <s v="Marie Navarro"/>
    <x v="0"/>
    <x v="3"/>
    <x v="1"/>
    <x v="11"/>
    <n v="3"/>
    <n v="847.57"/>
    <n v="2542.71"/>
    <n v="0"/>
    <n v="1270.51"/>
    <s v="PayPal"/>
    <n v="4"/>
  </r>
  <r>
    <s v="ORD-1479"/>
    <s v="2025-01-21"/>
    <x v="3"/>
    <s v="CUST-224"/>
    <s v="William Johnson"/>
    <x v="0"/>
    <x v="1"/>
    <x v="1"/>
    <x v="4"/>
    <n v="7"/>
    <n v="442.64"/>
    <n v="3098.48"/>
    <n v="0.05"/>
    <n v="1323.78"/>
    <s v="Bank Transfer"/>
    <n v="5"/>
  </r>
  <r>
    <s v="ORD-1480"/>
    <s v="2025-08-28"/>
    <x v="8"/>
    <s v="CUST-170"/>
    <s v="Michael Clarke"/>
    <x v="0"/>
    <x v="2"/>
    <x v="0"/>
    <x v="7"/>
    <n v="4"/>
    <n v="688.71"/>
    <n v="2754.84"/>
    <n v="0.2"/>
    <n v="905.65"/>
    <s v="Card"/>
    <n v="9"/>
  </r>
  <r>
    <s v="ORD-1481"/>
    <s v="2025-01-01"/>
    <x v="3"/>
    <s v="CUST-298"/>
    <s v="Sarah Morris"/>
    <x v="0"/>
    <x v="1"/>
    <x v="1"/>
    <x v="3"/>
    <n v="5"/>
    <n v="986.91"/>
    <n v="4934.55"/>
    <n v="0.2"/>
    <n v="1591.51"/>
    <s v="Bank Transfer"/>
    <n v="3"/>
  </r>
  <r>
    <s v="ORD-1482"/>
    <s v="2025-02-02"/>
    <x v="0"/>
    <s v="CUST-268"/>
    <s v="Beth Flynn"/>
    <x v="0"/>
    <x v="1"/>
    <x v="1"/>
    <x v="9"/>
    <n v="6"/>
    <n v="935.7"/>
    <n v="5614.2"/>
    <n v="0.05"/>
    <n v="2249.25"/>
    <s v="Card"/>
    <n v="9"/>
  </r>
  <r>
    <s v="ORD-1483"/>
    <s v="2025-11-25"/>
    <x v="6"/>
    <s v="CUST-182"/>
    <s v="Scott Thompson"/>
    <x v="1"/>
    <x v="0"/>
    <x v="0"/>
    <x v="7"/>
    <n v="9"/>
    <n v="201.88"/>
    <n v="1816.92"/>
    <n v="0.1"/>
    <n v="688.37"/>
    <s v="Bank Transfer"/>
    <n v="2"/>
  </r>
  <r>
    <s v="ORD-1484"/>
    <s v="2025-04-09"/>
    <x v="9"/>
    <s v="CUST-125"/>
    <s v="Mr. Michael Perez"/>
    <x v="1"/>
    <x v="1"/>
    <x v="1"/>
    <x v="15"/>
    <n v="3"/>
    <n v="1050.72"/>
    <n v="3152.16"/>
    <n v="0.05"/>
    <n v="1518.77"/>
    <s v="Bank Transfer"/>
    <n v="8"/>
  </r>
  <r>
    <s v="ORD-1485"/>
    <s v="2025-02-06"/>
    <x v="0"/>
    <s v="CUST-103"/>
    <s v="Benjamin Poole"/>
    <x v="1"/>
    <x v="1"/>
    <x v="0"/>
    <x v="5"/>
    <n v="10"/>
    <n v="322.01"/>
    <n v="3220.1"/>
    <n v="0.1"/>
    <n v="1338.08"/>
    <s v="Card"/>
    <n v="8"/>
  </r>
  <r>
    <s v="ORD-1486"/>
    <s v="2025-12-29"/>
    <x v="4"/>
    <s v="CUST-114"/>
    <s v="Christian Gordon"/>
    <x v="0"/>
    <x v="3"/>
    <x v="0"/>
    <x v="0"/>
    <n v="6"/>
    <n v="678.46"/>
    <n v="4070.76"/>
    <n v="0.15"/>
    <n v="765.35"/>
    <s v="Bank Transfer"/>
    <n v="1"/>
  </r>
  <r>
    <s v="ORD-1487"/>
    <s v="2025-02-19"/>
    <x v="0"/>
    <s v="CUST-125"/>
    <s v="Sabrina Clay"/>
    <x v="0"/>
    <x v="2"/>
    <x v="0"/>
    <x v="0"/>
    <n v="5"/>
    <n v="111.96"/>
    <n v="559.79999999999995"/>
    <n v="0.05"/>
    <n v="88.16"/>
    <s v="Bank Transfer"/>
    <n v="7"/>
  </r>
  <r>
    <s v="ORD-1488"/>
    <s v="2025-04-02"/>
    <x v="9"/>
    <s v="CUST-242"/>
    <s v="Christopher Rosales"/>
    <x v="0"/>
    <x v="1"/>
    <x v="1"/>
    <x v="15"/>
    <n v="9"/>
    <n v="795.11"/>
    <n v="7155.99"/>
    <n v="0.2"/>
    <n v="1716.69"/>
    <s v="Bank Transfer"/>
    <n v="2"/>
  </r>
  <r>
    <s v="ORD-1489"/>
    <s v="2025-02-23"/>
    <x v="0"/>
    <s v="CUST-142"/>
    <s v="Laura Carroll"/>
    <x v="1"/>
    <x v="1"/>
    <x v="0"/>
    <x v="5"/>
    <n v="6"/>
    <n v="815.9"/>
    <n v="4895.3999999999996"/>
    <n v="0.3"/>
    <n v="972.87"/>
    <s v="Bank Transfer"/>
    <n v="6"/>
  </r>
  <r>
    <s v="ORD-1490"/>
    <s v="2025-06-11"/>
    <x v="2"/>
    <s v="CUST-240"/>
    <s v="Terry Ochoa"/>
    <x v="2"/>
    <x v="3"/>
    <x v="0"/>
    <x v="10"/>
    <n v="9"/>
    <n v="1198.1500000000001"/>
    <n v="10783.35"/>
    <n v="0.15"/>
    <n v="1618.62"/>
    <s v="PayPal"/>
    <n v="7"/>
  </r>
  <r>
    <s v="ORD-1491"/>
    <s v="2025-10-09"/>
    <x v="1"/>
    <s v="CUST-290"/>
    <s v="Renee Avery"/>
    <x v="2"/>
    <x v="3"/>
    <x v="0"/>
    <x v="2"/>
    <n v="10"/>
    <n v="304.05"/>
    <n v="3040.5"/>
    <n v="0.2"/>
    <n v="1129.68"/>
    <s v="PayPal"/>
    <n v="8"/>
  </r>
  <r>
    <s v="ORD-1492"/>
    <s v="2025-03-11"/>
    <x v="5"/>
    <s v="CUST-177"/>
    <s v="Brian Campos IV"/>
    <x v="1"/>
    <x v="3"/>
    <x v="2"/>
    <x v="6"/>
    <n v="1"/>
    <n v="1179.8900000000001"/>
    <n v="1179.8900000000001"/>
    <n v="0.2"/>
    <n v="513"/>
    <s v="Card"/>
    <n v="4"/>
  </r>
  <r>
    <s v="ORD-1493"/>
    <s v="2025-10-20"/>
    <x v="1"/>
    <s v="CUST-139"/>
    <s v="Ryan Vargas"/>
    <x v="1"/>
    <x v="0"/>
    <x v="2"/>
    <x v="6"/>
    <n v="5"/>
    <n v="1104.55"/>
    <n v="5522.75"/>
    <n v="0.2"/>
    <n v="1446.83"/>
    <s v="PayPal"/>
    <n v="6"/>
  </r>
  <r>
    <s v="ORD-1494"/>
    <s v="2025-05-12"/>
    <x v="7"/>
    <s v="CUST-176"/>
    <s v="Dylan Gregory"/>
    <x v="1"/>
    <x v="1"/>
    <x v="1"/>
    <x v="15"/>
    <n v="5"/>
    <n v="453.16"/>
    <n v="2265.8000000000002"/>
    <n v="0.2"/>
    <n v="815.79"/>
    <s v="Bank Transfer"/>
    <n v="4"/>
  </r>
  <r>
    <s v="ORD-1495"/>
    <s v="2025-12-20"/>
    <x v="4"/>
    <s v="CUST-279"/>
    <s v="Cathy Castro"/>
    <x v="0"/>
    <x v="0"/>
    <x v="0"/>
    <x v="0"/>
    <n v="6"/>
    <n v="955.63"/>
    <n v="5733.78"/>
    <n v="0.05"/>
    <n v="1932.03"/>
    <s v="Bank Transfer"/>
    <n v="5"/>
  </r>
  <r>
    <s v="ORD-1496"/>
    <s v="2025-06-21"/>
    <x v="2"/>
    <s v="CUST-189"/>
    <s v="Joseph Smith"/>
    <x v="2"/>
    <x v="1"/>
    <x v="1"/>
    <x v="4"/>
    <n v="10"/>
    <n v="470.22"/>
    <n v="4702.2"/>
    <n v="0"/>
    <n v="852.28"/>
    <s v="Card"/>
    <n v="4"/>
  </r>
  <r>
    <s v="ORD-1497"/>
    <s v="2025-06-06"/>
    <x v="2"/>
    <s v="CUST-234"/>
    <s v="Amanda Brown"/>
    <x v="1"/>
    <x v="3"/>
    <x v="0"/>
    <x v="5"/>
    <n v="1"/>
    <n v="767.99"/>
    <n v="767.99"/>
    <n v="0.3"/>
    <n v="213.43"/>
    <s v="Bank Transfer"/>
    <n v="10"/>
  </r>
  <r>
    <s v="ORD-1498"/>
    <s v="2025-07-21"/>
    <x v="10"/>
    <s v="CUST-214"/>
    <s v="Dylan Dean"/>
    <x v="0"/>
    <x v="0"/>
    <x v="1"/>
    <x v="11"/>
    <n v="9"/>
    <n v="843.37"/>
    <n v="7590.33"/>
    <n v="0.05"/>
    <n v="3820.23"/>
    <s v="Card"/>
    <n v="7"/>
  </r>
  <r>
    <s v="ORD-1499"/>
    <s v="2025-01-26"/>
    <x v="3"/>
    <s v="CUST-240"/>
    <s v="Ronald Elliott"/>
    <x v="2"/>
    <x v="3"/>
    <x v="2"/>
    <x v="13"/>
    <n v="3"/>
    <n v="175.98"/>
    <n v="527.94000000000005"/>
    <n v="0"/>
    <n v="189.88"/>
    <s v="Card"/>
    <n v="7"/>
  </r>
  <r>
    <s v="ORD-1500"/>
    <s v="2025-09-07"/>
    <x v="11"/>
    <s v="CUST-201"/>
    <s v="Erica Tucker"/>
    <x v="0"/>
    <x v="2"/>
    <x v="0"/>
    <x v="7"/>
    <n v="3"/>
    <n v="919.2"/>
    <n v="2757.6"/>
    <n v="0.15"/>
    <n v="764.79"/>
    <s v="Bank Transfer"/>
    <n v="10"/>
  </r>
  <r>
    <s v="ORD-1501"/>
    <s v="2025-06-15"/>
    <x v="2"/>
    <s v="CUST-275"/>
    <s v="Jackie Miller"/>
    <x v="0"/>
    <x v="0"/>
    <x v="0"/>
    <x v="5"/>
    <n v="4"/>
    <n v="305.93"/>
    <n v="1223.72"/>
    <n v="0.1"/>
    <n v="263.54000000000002"/>
    <s v="Card"/>
    <n v="7"/>
  </r>
  <r>
    <s v="ORD-1502"/>
    <s v="2025-01-13"/>
    <x v="3"/>
    <s v="CUST-297"/>
    <s v="Tyler Carroll"/>
    <x v="2"/>
    <x v="2"/>
    <x v="2"/>
    <x v="8"/>
    <n v="6"/>
    <n v="244.78"/>
    <n v="1468.68"/>
    <n v="0.1"/>
    <n v="413"/>
    <s v="PayPal"/>
    <n v="10"/>
  </r>
  <r>
    <s v="ORD-1503"/>
    <s v="2025-07-11"/>
    <x v="10"/>
    <s v="CUST-139"/>
    <s v="Larry Rice"/>
    <x v="0"/>
    <x v="0"/>
    <x v="2"/>
    <x v="14"/>
    <n v="3"/>
    <n v="539.75"/>
    <n v="1619.25"/>
    <n v="0.05"/>
    <n v="723.19"/>
    <s v="Card"/>
    <n v="1"/>
  </r>
  <r>
    <s v="ORD-1504"/>
    <s v="2025-12-22"/>
    <x v="4"/>
    <s v="CUST-128"/>
    <s v="Rachel Kramer DVM"/>
    <x v="2"/>
    <x v="1"/>
    <x v="1"/>
    <x v="9"/>
    <n v="3"/>
    <n v="1045.1300000000001"/>
    <n v="3135.39"/>
    <n v="0.1"/>
    <n v="1536.52"/>
    <s v="PayPal"/>
    <n v="1"/>
  </r>
  <r>
    <s v="ORD-1505"/>
    <s v="2025-05-13"/>
    <x v="7"/>
    <s v="CUST-240"/>
    <s v="Andrea Stevens"/>
    <x v="2"/>
    <x v="2"/>
    <x v="2"/>
    <x v="12"/>
    <n v="9"/>
    <n v="270.01"/>
    <n v="2430.09"/>
    <n v="0.2"/>
    <n v="662.33"/>
    <s v="Bank Transfer"/>
    <n v="1"/>
  </r>
  <r>
    <s v="ORD-1506"/>
    <s v="2025-04-13"/>
    <x v="9"/>
    <s v="CUST-278"/>
    <s v="Ian Carter"/>
    <x v="0"/>
    <x v="3"/>
    <x v="2"/>
    <x v="14"/>
    <n v="9"/>
    <n v="71.31"/>
    <n v="641.79"/>
    <n v="0.05"/>
    <n v="320.68"/>
    <s v="Card"/>
    <n v="8"/>
  </r>
  <r>
    <s v="ORD-1507"/>
    <s v="2025-12-04"/>
    <x v="4"/>
    <s v="CUST-192"/>
    <s v="David Dickson"/>
    <x v="1"/>
    <x v="0"/>
    <x v="0"/>
    <x v="0"/>
    <n v="2"/>
    <n v="478.6"/>
    <n v="957.2"/>
    <n v="0.1"/>
    <n v="245.36"/>
    <s v="PayPal"/>
    <n v="7"/>
  </r>
  <r>
    <s v="ORD-1508"/>
    <s v="2025-09-06"/>
    <x v="11"/>
    <s v="CUST-252"/>
    <s v="Troy Johnson"/>
    <x v="0"/>
    <x v="0"/>
    <x v="1"/>
    <x v="3"/>
    <n v="9"/>
    <n v="1172.4000000000001"/>
    <n v="10551.6"/>
    <n v="0"/>
    <n v="1988.46"/>
    <s v="Card"/>
    <n v="4"/>
  </r>
  <r>
    <s v="ORD-1509"/>
    <s v="2025-09-29"/>
    <x v="11"/>
    <s v="CUST-178"/>
    <s v="Danielle Perez"/>
    <x v="2"/>
    <x v="1"/>
    <x v="0"/>
    <x v="7"/>
    <n v="9"/>
    <n v="1113.0899999999999"/>
    <n v="10017.81"/>
    <n v="0"/>
    <n v="5350.5"/>
    <s v="PayPal"/>
    <n v="3"/>
  </r>
  <r>
    <s v="ORD-1510"/>
    <s v="2025-09-14"/>
    <x v="11"/>
    <s v="CUST-170"/>
    <s v="Brenda Ross"/>
    <x v="1"/>
    <x v="3"/>
    <x v="1"/>
    <x v="11"/>
    <n v="6"/>
    <n v="439.35"/>
    <n v="2636.1"/>
    <n v="0.1"/>
    <n v="1080.71"/>
    <s v="PayPal"/>
    <n v="1"/>
  </r>
  <r>
    <s v="ORD-1511"/>
    <s v="2025-02-14"/>
    <x v="0"/>
    <s v="CUST-286"/>
    <s v="Joel Doyle"/>
    <x v="2"/>
    <x v="2"/>
    <x v="0"/>
    <x v="2"/>
    <n v="4"/>
    <n v="199.02"/>
    <n v="796.08"/>
    <n v="0.15"/>
    <n v="194.36"/>
    <s v="PayPal"/>
    <n v="4"/>
  </r>
  <r>
    <s v="ORD-1512"/>
    <s v="2025-10-05"/>
    <x v="1"/>
    <s v="CUST-133"/>
    <s v="Sarah Mitchell"/>
    <x v="1"/>
    <x v="2"/>
    <x v="0"/>
    <x v="10"/>
    <n v="7"/>
    <n v="1165.23"/>
    <n v="8156.61"/>
    <n v="0.2"/>
    <n v="2729.44"/>
    <s v="Bank Transfer"/>
    <n v="9"/>
  </r>
  <r>
    <s v="ORD-1513"/>
    <s v="2025-03-11"/>
    <x v="5"/>
    <s v="CUST-210"/>
    <s v="Brenda Mccarthy"/>
    <x v="1"/>
    <x v="2"/>
    <x v="0"/>
    <x v="10"/>
    <n v="3"/>
    <n v="384.62"/>
    <n v="1153.8599999999999"/>
    <n v="0.3"/>
    <n v="153.9"/>
    <s v="PayPal"/>
    <n v="2"/>
  </r>
  <r>
    <s v="ORD-1514"/>
    <s v="2025-06-13"/>
    <x v="2"/>
    <s v="CUST-205"/>
    <s v="Sara Johnson"/>
    <x v="2"/>
    <x v="3"/>
    <x v="0"/>
    <x v="5"/>
    <n v="2"/>
    <n v="237.28"/>
    <n v="474.56"/>
    <n v="0.05"/>
    <n v="116.84"/>
    <s v="PayPal"/>
    <n v="5"/>
  </r>
  <r>
    <s v="ORD-1515"/>
    <s v="2025-11-10"/>
    <x v="6"/>
    <s v="CUST-257"/>
    <s v="Jason Wilson"/>
    <x v="2"/>
    <x v="2"/>
    <x v="1"/>
    <x v="15"/>
    <n v="2"/>
    <n v="175.22"/>
    <n v="350.44"/>
    <n v="0"/>
    <n v="85.87"/>
    <s v="Bank Transfer"/>
    <n v="4"/>
  </r>
  <r>
    <s v="ORD-1516"/>
    <s v="2025-03-10"/>
    <x v="5"/>
    <s v="CUST-228"/>
    <s v="Elizabeth Galloway"/>
    <x v="0"/>
    <x v="1"/>
    <x v="1"/>
    <x v="4"/>
    <n v="1"/>
    <n v="443.93"/>
    <n v="443.93"/>
    <n v="0.3"/>
    <n v="73.98"/>
    <s v="Bank Transfer"/>
    <n v="6"/>
  </r>
  <r>
    <s v="ORD-1517"/>
    <s v="2025-01-17"/>
    <x v="3"/>
    <s v="CUST-204"/>
    <s v="Melissa Montgomery"/>
    <x v="1"/>
    <x v="3"/>
    <x v="1"/>
    <x v="3"/>
    <n v="8"/>
    <n v="579.14"/>
    <n v="4633.12"/>
    <n v="0.05"/>
    <n v="2080.5500000000002"/>
    <s v="PayPal"/>
    <n v="4"/>
  </r>
  <r>
    <s v="ORD-1518"/>
    <s v="2025-09-08"/>
    <x v="11"/>
    <s v="CUST-276"/>
    <s v="Ryan Garcia"/>
    <x v="2"/>
    <x v="1"/>
    <x v="0"/>
    <x v="10"/>
    <n v="4"/>
    <n v="98.04"/>
    <n v="392.16"/>
    <n v="0.15"/>
    <n v="67.72"/>
    <s v="Card"/>
    <n v="7"/>
  </r>
  <r>
    <s v="ORD-1519"/>
    <s v="2025-07-21"/>
    <x v="10"/>
    <s v="CUST-256"/>
    <s v="Mary Green"/>
    <x v="0"/>
    <x v="0"/>
    <x v="2"/>
    <x v="6"/>
    <n v="10"/>
    <n v="887.69"/>
    <n v="8876.9"/>
    <n v="0.15"/>
    <n v="1976.28"/>
    <s v="Bank Transfer"/>
    <n v="2"/>
  </r>
  <r>
    <s v="ORD-1520"/>
    <s v="2025-07-22"/>
    <x v="10"/>
    <s v="CUST-288"/>
    <s v="Charles Young"/>
    <x v="1"/>
    <x v="1"/>
    <x v="2"/>
    <x v="13"/>
    <n v="1"/>
    <n v="1055.78"/>
    <n v="1055.78"/>
    <n v="0.05"/>
    <n v="343.54"/>
    <s v="Bank Transfer"/>
    <n v="1"/>
  </r>
  <r>
    <s v="ORD-1521"/>
    <s v="2025-05-27"/>
    <x v="7"/>
    <s v="CUST-218"/>
    <s v="Gary Alvarez"/>
    <x v="1"/>
    <x v="1"/>
    <x v="1"/>
    <x v="11"/>
    <n v="8"/>
    <n v="489.69"/>
    <n v="3917.52"/>
    <n v="0.1"/>
    <n v="848.05"/>
    <s v="PayPal"/>
    <n v="10"/>
  </r>
  <r>
    <s v="ORD-1522"/>
    <s v="2025-08-20"/>
    <x v="8"/>
    <s v="CUST-123"/>
    <s v="Paul Gonzalez"/>
    <x v="0"/>
    <x v="0"/>
    <x v="1"/>
    <x v="4"/>
    <n v="9"/>
    <n v="1086.3399999999999"/>
    <n v="9777.06"/>
    <n v="0.15"/>
    <n v="1812.04"/>
    <s v="Card"/>
    <n v="10"/>
  </r>
  <r>
    <s v="ORD-1523"/>
    <s v="2025-04-02"/>
    <x v="9"/>
    <s v="CUST-216"/>
    <s v="Robert Edwards"/>
    <x v="0"/>
    <x v="2"/>
    <x v="0"/>
    <x v="5"/>
    <n v="3"/>
    <n v="483.82"/>
    <n v="1451.46"/>
    <n v="0.1"/>
    <n v="482.87"/>
    <s v="PayPal"/>
    <n v="2"/>
  </r>
  <r>
    <s v="ORD-1524"/>
    <s v="2025-12-28"/>
    <x v="4"/>
    <s v="CUST-215"/>
    <s v="Patrick Schneider"/>
    <x v="0"/>
    <x v="3"/>
    <x v="2"/>
    <x v="8"/>
    <n v="3"/>
    <n v="867.68"/>
    <n v="2603.04"/>
    <n v="0"/>
    <n v="1336.72"/>
    <s v="Card"/>
    <n v="9"/>
  </r>
  <r>
    <s v="ORD-1525"/>
    <s v="2025-07-14"/>
    <x v="10"/>
    <s v="CUST-111"/>
    <s v="Michael Alvarez"/>
    <x v="1"/>
    <x v="3"/>
    <x v="0"/>
    <x v="7"/>
    <n v="9"/>
    <n v="742.25"/>
    <n v="6680.25"/>
    <n v="0.05"/>
    <n v="2529.16"/>
    <s v="Bank Transfer"/>
    <n v="3"/>
  </r>
  <r>
    <s v="ORD-1526"/>
    <s v="2025-06-08"/>
    <x v="2"/>
    <s v="CUST-286"/>
    <s v="James Castaneda"/>
    <x v="2"/>
    <x v="3"/>
    <x v="1"/>
    <x v="15"/>
    <n v="3"/>
    <n v="927.61"/>
    <n v="2782.83"/>
    <n v="0"/>
    <n v="1063.51"/>
    <s v="Bank Transfer"/>
    <n v="3"/>
  </r>
  <r>
    <s v="ORD-1527"/>
    <s v="2025-09-12"/>
    <x v="11"/>
    <s v="CUST-227"/>
    <s v="Pamela Collins"/>
    <x v="0"/>
    <x v="0"/>
    <x v="1"/>
    <x v="15"/>
    <n v="4"/>
    <n v="24.17"/>
    <n v="96.68"/>
    <n v="0.1"/>
    <n v="47.43"/>
    <s v="Bank Transfer"/>
    <n v="8"/>
  </r>
  <r>
    <s v="ORD-1528"/>
    <s v="2025-02-10"/>
    <x v="0"/>
    <s v="CUST-253"/>
    <s v="Crystal Perez"/>
    <x v="0"/>
    <x v="0"/>
    <x v="1"/>
    <x v="15"/>
    <n v="10"/>
    <n v="798.18"/>
    <n v="7981.8"/>
    <n v="0.15"/>
    <n v="2618.42"/>
    <s v="Card"/>
    <n v="9"/>
  </r>
  <r>
    <s v="ORD-1529"/>
    <s v="2025-03-17"/>
    <x v="5"/>
    <s v="CUST-114"/>
    <s v="James Payne"/>
    <x v="0"/>
    <x v="3"/>
    <x v="2"/>
    <x v="14"/>
    <n v="9"/>
    <n v="987.74"/>
    <n v="8889.66"/>
    <n v="0.05"/>
    <n v="4479.6000000000004"/>
    <s v="Card"/>
    <n v="3"/>
  </r>
  <r>
    <s v="ORD-1530"/>
    <s v="2025-02-14"/>
    <x v="0"/>
    <s v="CUST-112"/>
    <s v="Mark Frey"/>
    <x v="1"/>
    <x v="1"/>
    <x v="1"/>
    <x v="4"/>
    <n v="10"/>
    <n v="1008.86"/>
    <n v="10088.6"/>
    <n v="0.1"/>
    <n v="3791.3"/>
    <s v="Card"/>
    <n v="3"/>
  </r>
  <r>
    <s v="ORD-1531"/>
    <s v="2025-10-15"/>
    <x v="1"/>
    <s v="CUST-145"/>
    <s v="James Larsen"/>
    <x v="2"/>
    <x v="3"/>
    <x v="0"/>
    <x v="2"/>
    <n v="10"/>
    <n v="799.89"/>
    <n v="7998.9"/>
    <n v="0.3"/>
    <n v="1747.03"/>
    <s v="Card"/>
    <n v="2"/>
  </r>
  <r>
    <s v="ORD-1532"/>
    <s v="2025-10-09"/>
    <x v="1"/>
    <s v="CUST-116"/>
    <s v="Jordan Golden"/>
    <x v="2"/>
    <x v="1"/>
    <x v="2"/>
    <x v="8"/>
    <n v="6"/>
    <n v="1079.0899999999999"/>
    <n v="6474.54"/>
    <n v="0"/>
    <n v="1596.77"/>
    <s v="Card"/>
    <n v="2"/>
  </r>
  <r>
    <s v="ORD-1533"/>
    <s v="2025-04-18"/>
    <x v="9"/>
    <s v="CUST-256"/>
    <s v="Laurie Vega"/>
    <x v="1"/>
    <x v="0"/>
    <x v="0"/>
    <x v="2"/>
    <n v="6"/>
    <n v="641.91999999999996"/>
    <n v="3851.52"/>
    <n v="0.2"/>
    <n v="1436.04"/>
    <s v="Bank Transfer"/>
    <n v="9"/>
  </r>
  <r>
    <s v="ORD-1534"/>
    <s v="2025-11-08"/>
    <x v="6"/>
    <s v="CUST-181"/>
    <s v="Timothy Gross"/>
    <x v="2"/>
    <x v="3"/>
    <x v="1"/>
    <x v="3"/>
    <n v="10"/>
    <n v="1121.99"/>
    <n v="11219.9"/>
    <n v="0.3"/>
    <n v="3417.44"/>
    <s v="Card"/>
    <n v="10"/>
  </r>
  <r>
    <s v="ORD-1535"/>
    <s v="2025-04-03"/>
    <x v="9"/>
    <s v="CUST-256"/>
    <s v="Sherri Ayala"/>
    <x v="1"/>
    <x v="3"/>
    <x v="0"/>
    <x v="7"/>
    <n v="9"/>
    <n v="880.44"/>
    <n v="7923.96"/>
    <n v="0.15"/>
    <n v="2377.5700000000002"/>
    <s v="Card"/>
    <n v="1"/>
  </r>
  <r>
    <s v="ORD-1536"/>
    <s v="2025-04-17"/>
    <x v="9"/>
    <s v="CUST-257"/>
    <s v="Shawn Davis"/>
    <x v="2"/>
    <x v="1"/>
    <x v="1"/>
    <x v="1"/>
    <n v="8"/>
    <n v="758.04"/>
    <n v="6064.32"/>
    <n v="0"/>
    <n v="1546.48"/>
    <s v="Card"/>
    <n v="6"/>
  </r>
  <r>
    <s v="ORD-1537"/>
    <s v="2025-05-11"/>
    <x v="7"/>
    <s v="CUST-117"/>
    <s v="Brandon Rose"/>
    <x v="2"/>
    <x v="3"/>
    <x v="2"/>
    <x v="14"/>
    <n v="4"/>
    <n v="33.33"/>
    <n v="133.32"/>
    <n v="0.05"/>
    <n v="34.700000000000003"/>
    <s v="Bank Transfer"/>
    <n v="9"/>
  </r>
  <r>
    <s v="ORD-1538"/>
    <s v="2025-10-19"/>
    <x v="1"/>
    <s v="CUST-257"/>
    <s v="Roger Ramos"/>
    <x v="1"/>
    <x v="2"/>
    <x v="2"/>
    <x v="6"/>
    <n v="2"/>
    <n v="829.29"/>
    <n v="1658.58"/>
    <n v="0.1"/>
    <n v="584.52"/>
    <s v="Card"/>
    <n v="6"/>
  </r>
  <r>
    <s v="ORD-1539"/>
    <s v="2025-03-21"/>
    <x v="5"/>
    <s v="CUST-260"/>
    <s v="James Hayes"/>
    <x v="2"/>
    <x v="3"/>
    <x v="2"/>
    <x v="13"/>
    <n v="8"/>
    <n v="960.76"/>
    <n v="7686.08"/>
    <n v="0.3"/>
    <n v="2666.98"/>
    <s v="PayPal"/>
    <n v="7"/>
  </r>
  <r>
    <s v="ORD-1540"/>
    <s v="2025-10-12"/>
    <x v="1"/>
    <s v="CUST-237"/>
    <s v="Erica Graham"/>
    <x v="1"/>
    <x v="2"/>
    <x v="0"/>
    <x v="0"/>
    <n v="9"/>
    <n v="373.23"/>
    <n v="3359.07"/>
    <n v="0.3"/>
    <n v="655.37"/>
    <s v="Bank Transfer"/>
    <n v="6"/>
  </r>
  <r>
    <s v="ORD-1541"/>
    <s v="2025-07-12"/>
    <x v="10"/>
    <s v="CUST-260"/>
    <s v="Joshua Davidson"/>
    <x v="0"/>
    <x v="2"/>
    <x v="2"/>
    <x v="6"/>
    <n v="3"/>
    <n v="350.94"/>
    <n v="1052.82"/>
    <n v="0"/>
    <n v="436.22"/>
    <s v="Bank Transfer"/>
    <n v="10"/>
  </r>
  <r>
    <s v="ORD-1542"/>
    <s v="2025-06-11"/>
    <x v="2"/>
    <s v="CUST-281"/>
    <s v="Jacqueline Rice"/>
    <x v="1"/>
    <x v="3"/>
    <x v="2"/>
    <x v="12"/>
    <n v="10"/>
    <n v="157.88"/>
    <n v="1578.8"/>
    <n v="0.1"/>
    <n v="380.66"/>
    <s v="PayPal"/>
    <n v="2"/>
  </r>
  <r>
    <s v="ORD-1543"/>
    <s v="2025-06-04"/>
    <x v="2"/>
    <s v="CUST-144"/>
    <s v="Brett Romero"/>
    <x v="1"/>
    <x v="3"/>
    <x v="2"/>
    <x v="12"/>
    <n v="6"/>
    <n v="553.25"/>
    <n v="3319.5"/>
    <n v="0.1"/>
    <n v="1384.86"/>
    <s v="Card"/>
    <n v="4"/>
  </r>
  <r>
    <s v="ORD-1544"/>
    <s v="2025-03-20"/>
    <x v="5"/>
    <s v="CUST-148"/>
    <s v="David Johnson"/>
    <x v="2"/>
    <x v="1"/>
    <x v="1"/>
    <x v="3"/>
    <n v="9"/>
    <n v="49.42"/>
    <n v="444.78"/>
    <n v="0.15"/>
    <n v="71.08"/>
    <s v="Bank Transfer"/>
    <n v="9"/>
  </r>
  <r>
    <s v="ORD-1545"/>
    <s v="2025-09-22"/>
    <x v="11"/>
    <s v="CUST-273"/>
    <s v="Jessica Wright"/>
    <x v="1"/>
    <x v="2"/>
    <x v="2"/>
    <x v="8"/>
    <n v="3"/>
    <n v="927.99"/>
    <n v="2783.97"/>
    <n v="0"/>
    <n v="615.66"/>
    <s v="Bank Transfer"/>
    <n v="1"/>
  </r>
  <r>
    <s v="ORD-1546"/>
    <s v="2025-12-18"/>
    <x v="4"/>
    <s v="CUST-252"/>
    <s v="Vincent Turner"/>
    <x v="1"/>
    <x v="3"/>
    <x v="2"/>
    <x v="13"/>
    <n v="9"/>
    <n v="156.69"/>
    <n v="1410.21"/>
    <n v="0.1"/>
    <n v="224.73"/>
    <s v="PayPal"/>
    <n v="1"/>
  </r>
  <r>
    <s v="ORD-1547"/>
    <s v="2025-04-18"/>
    <x v="9"/>
    <s v="CUST-182"/>
    <s v="Kim Mejia"/>
    <x v="1"/>
    <x v="2"/>
    <x v="1"/>
    <x v="9"/>
    <n v="5"/>
    <n v="46.53"/>
    <n v="232.65"/>
    <n v="0.1"/>
    <n v="61.66"/>
    <s v="PayPal"/>
    <n v="5"/>
  </r>
  <r>
    <s v="ORD-1548"/>
    <s v="2025-05-21"/>
    <x v="7"/>
    <s v="CUST-129"/>
    <s v="Sally Norris"/>
    <x v="1"/>
    <x v="0"/>
    <x v="0"/>
    <x v="2"/>
    <n v="8"/>
    <n v="811.93"/>
    <n v="6495.44"/>
    <n v="0.1"/>
    <n v="2866.08"/>
    <s v="Card"/>
    <n v="9"/>
  </r>
  <r>
    <s v="ORD-1549"/>
    <s v="2025-10-21"/>
    <x v="1"/>
    <s v="CUST-162"/>
    <s v="Philip Sullivan"/>
    <x v="1"/>
    <x v="0"/>
    <x v="2"/>
    <x v="14"/>
    <n v="6"/>
    <n v="339.84"/>
    <n v="2039.04"/>
    <n v="0.3"/>
    <n v="326"/>
    <s v="PayPal"/>
    <n v="10"/>
  </r>
  <r>
    <s v="ORD-1550"/>
    <s v="2025-12-12"/>
    <x v="4"/>
    <s v="CUST-112"/>
    <s v="Maria Cardenas"/>
    <x v="1"/>
    <x v="1"/>
    <x v="2"/>
    <x v="14"/>
    <n v="8"/>
    <n v="79.86"/>
    <n v="638.88"/>
    <n v="0"/>
    <n v="231.09"/>
    <s v="Card"/>
    <n v="2"/>
  </r>
  <r>
    <s v="ORD-1551"/>
    <s v="2025-12-20"/>
    <x v="4"/>
    <s v="CUST-279"/>
    <s v="Justin Gonzalez"/>
    <x v="2"/>
    <x v="3"/>
    <x v="2"/>
    <x v="13"/>
    <n v="3"/>
    <n v="851.52"/>
    <n v="2554.56"/>
    <n v="0.2"/>
    <n v="609.44000000000005"/>
    <s v="PayPal"/>
    <n v="6"/>
  </r>
  <r>
    <s v="ORD-1552"/>
    <s v="2025-02-17"/>
    <x v="0"/>
    <s v="CUST-278"/>
    <s v="Karen Owens"/>
    <x v="2"/>
    <x v="0"/>
    <x v="1"/>
    <x v="4"/>
    <n v="9"/>
    <n v="112.68"/>
    <n v="1014.12"/>
    <n v="0.15"/>
    <n v="278.33"/>
    <s v="PayPal"/>
    <n v="5"/>
  </r>
  <r>
    <s v="ORD-1553"/>
    <s v="2025-11-12"/>
    <x v="6"/>
    <s v="CUST-166"/>
    <s v="James Osborn"/>
    <x v="2"/>
    <x v="1"/>
    <x v="0"/>
    <x v="7"/>
    <n v="8"/>
    <n v="293.39999999999998"/>
    <n v="2347.1999999999998"/>
    <n v="0.05"/>
    <n v="1098.22"/>
    <s v="Card"/>
    <n v="6"/>
  </r>
  <r>
    <s v="ORD-1554"/>
    <s v="2025-09-03"/>
    <x v="11"/>
    <s v="CUST-218"/>
    <s v="Mike Vargas"/>
    <x v="1"/>
    <x v="3"/>
    <x v="2"/>
    <x v="13"/>
    <n v="8"/>
    <n v="55.71"/>
    <n v="445.68"/>
    <n v="0.15"/>
    <n v="191.25"/>
    <s v="PayPal"/>
    <n v="10"/>
  </r>
  <r>
    <s v="ORD-1555"/>
    <s v="2025-06-16"/>
    <x v="2"/>
    <s v="CUST-242"/>
    <s v="Rebecca Johnson"/>
    <x v="0"/>
    <x v="0"/>
    <x v="0"/>
    <x v="10"/>
    <n v="9"/>
    <n v="141.46"/>
    <n v="1273.1400000000001"/>
    <n v="0.3"/>
    <n v="206.13"/>
    <s v="PayPal"/>
    <n v="9"/>
  </r>
  <r>
    <s v="ORD-1556"/>
    <s v="2025-03-23"/>
    <x v="5"/>
    <s v="CUST-223"/>
    <s v="Caitlin Mcguire"/>
    <x v="2"/>
    <x v="0"/>
    <x v="2"/>
    <x v="13"/>
    <n v="10"/>
    <n v="507.86"/>
    <n v="5078.6000000000004"/>
    <n v="0.2"/>
    <n v="1838.55"/>
    <s v="PayPal"/>
    <n v="4"/>
  </r>
  <r>
    <s v="ORD-1557"/>
    <s v="2025-06-25"/>
    <x v="2"/>
    <s v="CUST-239"/>
    <s v="Keith Rodriguez"/>
    <x v="0"/>
    <x v="2"/>
    <x v="0"/>
    <x v="5"/>
    <n v="7"/>
    <n v="945.49"/>
    <n v="6618.43"/>
    <n v="0.15"/>
    <n v="1817.74"/>
    <s v="Card"/>
    <n v="2"/>
  </r>
  <r>
    <s v="ORD-1558"/>
    <s v="2025-10-12"/>
    <x v="1"/>
    <s v="CUST-124"/>
    <s v="Antonio Strickland"/>
    <x v="2"/>
    <x v="2"/>
    <x v="0"/>
    <x v="5"/>
    <n v="8"/>
    <n v="154.9"/>
    <n v="1239.2"/>
    <n v="0.2"/>
    <n v="361.68"/>
    <s v="PayPal"/>
    <n v="7"/>
  </r>
  <r>
    <s v="ORD-1559"/>
    <s v="2025-07-14"/>
    <x v="10"/>
    <s v="CUST-183"/>
    <s v="Emily Myers"/>
    <x v="2"/>
    <x v="0"/>
    <x v="1"/>
    <x v="9"/>
    <n v="2"/>
    <n v="828.9"/>
    <n v="1657.8"/>
    <n v="0.2"/>
    <n v="320.24"/>
    <s v="Card"/>
    <n v="4"/>
  </r>
  <r>
    <s v="ORD-1560"/>
    <s v="2025-09-30"/>
    <x v="11"/>
    <s v="CUST-174"/>
    <s v="Daniel Bryant"/>
    <x v="2"/>
    <x v="1"/>
    <x v="1"/>
    <x v="9"/>
    <n v="1"/>
    <n v="913.35"/>
    <n v="913.35"/>
    <n v="0.3"/>
    <n v="313.48"/>
    <s v="Card"/>
    <n v="4"/>
  </r>
  <r>
    <s v="ORD-1561"/>
    <s v="2025-08-11"/>
    <x v="8"/>
    <s v="CUST-283"/>
    <s v="Timothy Harris"/>
    <x v="2"/>
    <x v="0"/>
    <x v="0"/>
    <x v="2"/>
    <n v="5"/>
    <n v="692.93"/>
    <n v="3464.65"/>
    <n v="0.3"/>
    <n v="1038.45"/>
    <s v="Bank Transfer"/>
    <n v="1"/>
  </r>
  <r>
    <s v="ORD-1562"/>
    <s v="2025-10-09"/>
    <x v="1"/>
    <s v="CUST-113"/>
    <s v="David Mcdonald"/>
    <x v="1"/>
    <x v="3"/>
    <x v="0"/>
    <x v="5"/>
    <n v="7"/>
    <n v="1020.21"/>
    <n v="7141.47"/>
    <n v="0.1"/>
    <n v="3374.57"/>
    <s v="Card"/>
    <n v="5"/>
  </r>
  <r>
    <s v="ORD-1563"/>
    <s v="2025-12-31"/>
    <x v="4"/>
    <s v="CUST-197"/>
    <s v="Jonathon Levine"/>
    <x v="2"/>
    <x v="1"/>
    <x v="1"/>
    <x v="15"/>
    <n v="7"/>
    <n v="848.62"/>
    <n v="5940.34"/>
    <n v="0.15"/>
    <n v="1514.35"/>
    <s v="PayPal"/>
    <n v="9"/>
  </r>
  <r>
    <s v="ORD-1564"/>
    <s v="2025-07-04"/>
    <x v="10"/>
    <s v="CUST-206"/>
    <s v="Wendy Gutierrez"/>
    <x v="1"/>
    <x v="3"/>
    <x v="1"/>
    <x v="4"/>
    <n v="3"/>
    <n v="580.35"/>
    <n v="1741.05"/>
    <n v="0.05"/>
    <n v="542.23"/>
    <s v="Bank Transfer"/>
    <n v="3"/>
  </r>
  <r>
    <s v="ORD-1565"/>
    <s v="2025-09-07"/>
    <x v="11"/>
    <s v="CUST-268"/>
    <s v="Louis Hudson"/>
    <x v="2"/>
    <x v="2"/>
    <x v="1"/>
    <x v="1"/>
    <n v="2"/>
    <n v="785.1"/>
    <n v="1570.2"/>
    <n v="0.05"/>
    <n v="390.02"/>
    <s v="Card"/>
    <n v="3"/>
  </r>
  <r>
    <s v="ORD-1566"/>
    <s v="2025-08-06"/>
    <x v="8"/>
    <s v="CUST-259"/>
    <s v="Laura Moreno"/>
    <x v="1"/>
    <x v="1"/>
    <x v="0"/>
    <x v="7"/>
    <n v="8"/>
    <n v="1074.43"/>
    <n v="8595.44"/>
    <n v="0.3"/>
    <n v="1854.55"/>
    <s v="Bank Transfer"/>
    <n v="7"/>
  </r>
  <r>
    <s v="ORD-1567"/>
    <s v="2025-01-04"/>
    <x v="3"/>
    <s v="CUST-247"/>
    <s v="Jessica Clark"/>
    <x v="2"/>
    <x v="2"/>
    <x v="0"/>
    <x v="7"/>
    <n v="7"/>
    <n v="439.26"/>
    <n v="3074.82"/>
    <n v="0.05"/>
    <n v="1110.28"/>
    <s v="Bank Transfer"/>
    <n v="9"/>
  </r>
  <r>
    <s v="ORD-1568"/>
    <s v="2025-10-18"/>
    <x v="1"/>
    <s v="CUST-223"/>
    <s v="Brian Fischer"/>
    <x v="0"/>
    <x v="3"/>
    <x v="2"/>
    <x v="13"/>
    <n v="9"/>
    <n v="700.1"/>
    <n v="6300.9"/>
    <n v="0"/>
    <n v="999.99"/>
    <s v="Card"/>
    <n v="10"/>
  </r>
  <r>
    <s v="ORD-1569"/>
    <s v="2025-05-24"/>
    <x v="7"/>
    <s v="CUST-219"/>
    <s v="Edward Miller"/>
    <x v="0"/>
    <x v="0"/>
    <x v="2"/>
    <x v="6"/>
    <n v="3"/>
    <n v="881.62"/>
    <n v="2644.86"/>
    <n v="0.2"/>
    <n v="331.28"/>
    <s v="Bank Transfer"/>
    <n v="10"/>
  </r>
  <r>
    <s v="ORD-1570"/>
    <s v="2025-02-09"/>
    <x v="0"/>
    <s v="CUST-275"/>
    <s v="William Taylor"/>
    <x v="0"/>
    <x v="3"/>
    <x v="1"/>
    <x v="15"/>
    <n v="8"/>
    <n v="764.18"/>
    <n v="6113.44"/>
    <n v="0.3"/>
    <n v="709.68"/>
    <s v="Bank Transfer"/>
    <n v="1"/>
  </r>
  <r>
    <s v="ORD-1571"/>
    <s v="2025-10-21"/>
    <x v="1"/>
    <s v="CUST-287"/>
    <s v="Tiffany Escobar"/>
    <x v="2"/>
    <x v="1"/>
    <x v="2"/>
    <x v="14"/>
    <n v="1"/>
    <n v="573.27"/>
    <n v="573.27"/>
    <n v="0.2"/>
    <n v="86.03"/>
    <s v="PayPal"/>
    <n v="5"/>
  </r>
  <r>
    <s v="ORD-1572"/>
    <s v="2025-10-16"/>
    <x v="1"/>
    <s v="CUST-166"/>
    <s v="Charles Rice"/>
    <x v="1"/>
    <x v="1"/>
    <x v="2"/>
    <x v="12"/>
    <n v="1"/>
    <n v="840.16"/>
    <n v="840.16"/>
    <n v="0.2"/>
    <n v="168.19"/>
    <s v="Bank Transfer"/>
    <n v="3"/>
  </r>
  <r>
    <s v="ORD-1573"/>
    <s v="2025-09-06"/>
    <x v="11"/>
    <s v="CUST-121"/>
    <s v="Jenna Hammond"/>
    <x v="1"/>
    <x v="0"/>
    <x v="0"/>
    <x v="0"/>
    <n v="5"/>
    <n v="974.5"/>
    <n v="4872.5"/>
    <n v="0.2"/>
    <n v="2101.34"/>
    <s v="PayPal"/>
    <n v="5"/>
  </r>
  <r>
    <s v="ORD-1574"/>
    <s v="2025-02-27"/>
    <x v="0"/>
    <s v="CUST-254"/>
    <s v="Lisa Jackson"/>
    <x v="1"/>
    <x v="2"/>
    <x v="1"/>
    <x v="9"/>
    <n v="5"/>
    <n v="344.76"/>
    <n v="1723.8"/>
    <n v="0.1"/>
    <n v="844.47"/>
    <s v="Bank Transfer"/>
    <n v="8"/>
  </r>
  <r>
    <s v="ORD-1575"/>
    <s v="2025-09-28"/>
    <x v="11"/>
    <s v="CUST-108"/>
    <s v="Stefanie Perry"/>
    <x v="2"/>
    <x v="0"/>
    <x v="2"/>
    <x v="12"/>
    <n v="5"/>
    <n v="943.38"/>
    <n v="4716.8999999999996"/>
    <n v="0.05"/>
    <n v="1595.4"/>
    <s v="Card"/>
    <n v="10"/>
  </r>
  <r>
    <s v="ORD-1576"/>
    <s v="2025-11-23"/>
    <x v="6"/>
    <s v="CUST-142"/>
    <s v="Ashley Grant"/>
    <x v="1"/>
    <x v="3"/>
    <x v="1"/>
    <x v="3"/>
    <n v="7"/>
    <n v="929.03"/>
    <n v="6503.21"/>
    <n v="0.05"/>
    <n v="1765.27"/>
    <s v="Card"/>
    <n v="5"/>
  </r>
  <r>
    <s v="ORD-1577"/>
    <s v="2025-09-30"/>
    <x v="11"/>
    <s v="CUST-159"/>
    <s v="Jacob Campbell"/>
    <x v="2"/>
    <x v="1"/>
    <x v="1"/>
    <x v="1"/>
    <n v="3"/>
    <n v="567.54"/>
    <n v="1702.62"/>
    <n v="0.15"/>
    <n v="621.52"/>
    <s v="PayPal"/>
    <n v="5"/>
  </r>
  <r>
    <s v="ORD-1578"/>
    <s v="2025-06-11"/>
    <x v="2"/>
    <s v="CUST-235"/>
    <s v="Kayla Estrada"/>
    <x v="0"/>
    <x v="0"/>
    <x v="1"/>
    <x v="9"/>
    <n v="7"/>
    <n v="34"/>
    <n v="238"/>
    <n v="0.15"/>
    <n v="80.349999999999994"/>
    <s v="Card"/>
    <n v="9"/>
  </r>
  <r>
    <s v="ORD-1579"/>
    <s v="2025-06-21"/>
    <x v="2"/>
    <s v="CUST-169"/>
    <s v="Scott Davila"/>
    <x v="2"/>
    <x v="0"/>
    <x v="0"/>
    <x v="2"/>
    <n v="7"/>
    <n v="740.37"/>
    <n v="5182.59"/>
    <n v="0.3"/>
    <n v="749.72"/>
    <s v="PayPal"/>
    <n v="10"/>
  </r>
  <r>
    <s v="ORD-1580"/>
    <s v="2025-09-24"/>
    <x v="11"/>
    <s v="CUST-186"/>
    <s v="Alyssa Quinn"/>
    <x v="0"/>
    <x v="2"/>
    <x v="2"/>
    <x v="13"/>
    <n v="4"/>
    <n v="886.49"/>
    <n v="3545.96"/>
    <n v="0.2"/>
    <n v="685.93"/>
    <s v="PayPal"/>
    <n v="9"/>
  </r>
  <r>
    <s v="ORD-1581"/>
    <s v="2025-09-26"/>
    <x v="11"/>
    <s v="CUST-126"/>
    <s v="Daniel Cook"/>
    <x v="0"/>
    <x v="1"/>
    <x v="1"/>
    <x v="4"/>
    <n v="1"/>
    <n v="1001.39"/>
    <n v="1001.39"/>
    <n v="0"/>
    <n v="386.04"/>
    <s v="PayPal"/>
    <n v="4"/>
  </r>
  <r>
    <s v="ORD-1582"/>
    <s v="2025-01-30"/>
    <x v="3"/>
    <s v="CUST-252"/>
    <s v="Robert Hicks"/>
    <x v="0"/>
    <x v="2"/>
    <x v="0"/>
    <x v="2"/>
    <n v="5"/>
    <n v="247.83"/>
    <n v="1239.1500000000001"/>
    <n v="0"/>
    <n v="374.52"/>
    <s v="Bank Transfer"/>
    <n v="2"/>
  </r>
  <r>
    <s v="ORD-1583"/>
    <s v="2025-11-28"/>
    <x v="6"/>
    <s v="CUST-244"/>
    <s v="David Cruz MD"/>
    <x v="1"/>
    <x v="0"/>
    <x v="0"/>
    <x v="0"/>
    <n v="2"/>
    <n v="1030.5999999999999"/>
    <n v="2061.1999999999998"/>
    <n v="0.05"/>
    <n v="782.51"/>
    <s v="Bank Transfer"/>
    <n v="3"/>
  </r>
  <r>
    <s v="ORD-1584"/>
    <s v="2025-05-22"/>
    <x v="7"/>
    <s v="CUST-296"/>
    <s v="Jennifer Walton"/>
    <x v="2"/>
    <x v="3"/>
    <x v="2"/>
    <x v="8"/>
    <n v="8"/>
    <n v="799.36"/>
    <n v="6394.88"/>
    <n v="0"/>
    <n v="1883.21"/>
    <s v="PayPal"/>
    <n v="3"/>
  </r>
  <r>
    <s v="ORD-1585"/>
    <s v="2025-05-13"/>
    <x v="7"/>
    <s v="CUST-167"/>
    <s v="Elizabeth Serrano"/>
    <x v="1"/>
    <x v="1"/>
    <x v="1"/>
    <x v="11"/>
    <n v="1"/>
    <n v="471.7"/>
    <n v="471.7"/>
    <n v="0.1"/>
    <n v="64.37"/>
    <s v="Card"/>
    <n v="8"/>
  </r>
  <r>
    <s v="ORD-1586"/>
    <s v="2025-10-04"/>
    <x v="1"/>
    <s v="CUST-296"/>
    <s v="Savannah Lopez"/>
    <x v="2"/>
    <x v="2"/>
    <x v="1"/>
    <x v="9"/>
    <n v="7"/>
    <n v="230.56"/>
    <n v="1613.92"/>
    <n v="0.15"/>
    <n v="695.01"/>
    <s v="Bank Transfer"/>
    <n v="2"/>
  </r>
  <r>
    <s v="ORD-1587"/>
    <s v="2025-05-09"/>
    <x v="7"/>
    <s v="CUST-298"/>
    <s v="Miranda Hanna"/>
    <x v="2"/>
    <x v="0"/>
    <x v="2"/>
    <x v="8"/>
    <n v="2"/>
    <n v="61.14"/>
    <n v="122.28"/>
    <n v="0"/>
    <n v="39.31"/>
    <s v="PayPal"/>
    <n v="3"/>
  </r>
  <r>
    <s v="ORD-1588"/>
    <s v="2025-06-18"/>
    <x v="2"/>
    <s v="CUST-200"/>
    <s v="Michael Butler"/>
    <x v="0"/>
    <x v="0"/>
    <x v="0"/>
    <x v="0"/>
    <n v="1"/>
    <n v="804.23"/>
    <n v="804.23"/>
    <n v="0.1"/>
    <n v="354.2"/>
    <s v="Bank Transfer"/>
    <n v="8"/>
  </r>
  <r>
    <s v="ORD-1589"/>
    <s v="2025-01-02"/>
    <x v="3"/>
    <s v="CUST-198"/>
    <s v="James West"/>
    <x v="0"/>
    <x v="1"/>
    <x v="2"/>
    <x v="13"/>
    <n v="7"/>
    <n v="1015.98"/>
    <n v="7111.86"/>
    <n v="0"/>
    <n v="2375"/>
    <s v="Card"/>
    <n v="10"/>
  </r>
  <r>
    <s v="ORD-1590"/>
    <s v="2025-11-28"/>
    <x v="6"/>
    <s v="CUST-123"/>
    <s v="Tony Wilson"/>
    <x v="2"/>
    <x v="3"/>
    <x v="0"/>
    <x v="2"/>
    <n v="6"/>
    <n v="824.57"/>
    <n v="4947.42"/>
    <n v="0.15"/>
    <n v="2220.0700000000002"/>
    <s v="Card"/>
    <n v="8"/>
  </r>
  <r>
    <s v="ORD-1591"/>
    <s v="2025-06-03"/>
    <x v="2"/>
    <s v="CUST-278"/>
    <s v="Greg Reed"/>
    <x v="2"/>
    <x v="0"/>
    <x v="2"/>
    <x v="12"/>
    <n v="3"/>
    <n v="674.28"/>
    <n v="2022.84"/>
    <n v="0.15"/>
    <n v="491.25"/>
    <s v="Bank Transfer"/>
    <n v="6"/>
  </r>
  <r>
    <s v="ORD-1592"/>
    <s v="2025-01-13"/>
    <x v="3"/>
    <s v="CUST-284"/>
    <s v="Steven Allen"/>
    <x v="0"/>
    <x v="2"/>
    <x v="2"/>
    <x v="6"/>
    <n v="8"/>
    <n v="887.68"/>
    <n v="7101.44"/>
    <n v="0.05"/>
    <n v="3614.17"/>
    <s v="PayPal"/>
    <n v="7"/>
  </r>
  <r>
    <s v="ORD-1593"/>
    <s v="2025-01-09"/>
    <x v="3"/>
    <s v="CUST-109"/>
    <s v="Derek Henderson"/>
    <x v="2"/>
    <x v="0"/>
    <x v="1"/>
    <x v="9"/>
    <n v="5"/>
    <n v="609.63"/>
    <n v="3048.15"/>
    <n v="0.15"/>
    <n v="423.28"/>
    <s v="PayPal"/>
    <n v="1"/>
  </r>
  <r>
    <s v="ORD-1594"/>
    <s v="2025-12-14"/>
    <x v="4"/>
    <s v="CUST-237"/>
    <s v="Paul Stephenson"/>
    <x v="1"/>
    <x v="2"/>
    <x v="2"/>
    <x v="6"/>
    <n v="4"/>
    <n v="972.38"/>
    <n v="3889.52"/>
    <n v="0.3"/>
    <n v="927.75"/>
    <s v="Card"/>
    <n v="1"/>
  </r>
  <r>
    <s v="ORD-1595"/>
    <s v="2025-11-13"/>
    <x v="6"/>
    <s v="CUST-111"/>
    <s v="James Gray"/>
    <x v="1"/>
    <x v="2"/>
    <x v="0"/>
    <x v="10"/>
    <n v="8"/>
    <n v="791.52"/>
    <n v="6332.16"/>
    <n v="0.15"/>
    <n v="1007.19"/>
    <s v="Card"/>
    <n v="3"/>
  </r>
  <r>
    <s v="ORD-1596"/>
    <s v="2025-03-29"/>
    <x v="5"/>
    <s v="CUST-251"/>
    <s v="Tara Dixon"/>
    <x v="1"/>
    <x v="0"/>
    <x v="0"/>
    <x v="0"/>
    <n v="5"/>
    <n v="988.47"/>
    <n v="4942.3500000000004"/>
    <n v="0"/>
    <n v="1816.44"/>
    <s v="Card"/>
    <n v="8"/>
  </r>
  <r>
    <s v="ORD-1597"/>
    <s v="2025-12-14"/>
    <x v="4"/>
    <s v="CUST-202"/>
    <s v="Andrea Chaney"/>
    <x v="2"/>
    <x v="0"/>
    <x v="0"/>
    <x v="5"/>
    <n v="4"/>
    <n v="94.47"/>
    <n v="377.88"/>
    <n v="0.05"/>
    <n v="136.24"/>
    <s v="Bank Transfer"/>
    <n v="10"/>
  </r>
  <r>
    <s v="ORD-1598"/>
    <s v="2025-10-31"/>
    <x v="1"/>
    <s v="CUST-144"/>
    <s v="Brent Short"/>
    <x v="2"/>
    <x v="0"/>
    <x v="0"/>
    <x v="10"/>
    <n v="6"/>
    <n v="1006.98"/>
    <n v="6041.88"/>
    <n v="0.05"/>
    <n v="1402.28"/>
    <s v="Card"/>
    <n v="5"/>
  </r>
  <r>
    <s v="ORD-1599"/>
    <s v="2025-05-05"/>
    <x v="7"/>
    <s v="CUST-248"/>
    <s v="Bailey Hill"/>
    <x v="1"/>
    <x v="2"/>
    <x v="1"/>
    <x v="3"/>
    <n v="3"/>
    <n v="841.63"/>
    <n v="2524.89"/>
    <n v="0.2"/>
    <n v="977.63"/>
    <s v="Card"/>
    <n v="10"/>
  </r>
  <r>
    <s v="ORD-1600"/>
    <s v="2025-04-02"/>
    <x v="9"/>
    <s v="CUST-122"/>
    <s v="Richard Navarro"/>
    <x v="0"/>
    <x v="3"/>
    <x v="2"/>
    <x v="12"/>
    <n v="1"/>
    <n v="1057.96"/>
    <n v="1057.96"/>
    <n v="0"/>
    <n v="579.19000000000005"/>
    <s v="PayPal"/>
    <n v="8"/>
  </r>
  <r>
    <s v="ORD-1601"/>
    <s v="2025-07-30"/>
    <x v="10"/>
    <s v="CUST-161"/>
    <s v="Sarah Curry"/>
    <x v="1"/>
    <x v="0"/>
    <x v="0"/>
    <x v="10"/>
    <n v="4"/>
    <n v="188.84"/>
    <n v="755.36"/>
    <n v="0.1"/>
    <n v="231.66"/>
    <s v="Bank Transfer"/>
    <n v="3"/>
  </r>
  <r>
    <s v="ORD-1602"/>
    <s v="2025-06-04"/>
    <x v="2"/>
    <s v="CUST-189"/>
    <s v="Bradley Montgomery"/>
    <x v="2"/>
    <x v="0"/>
    <x v="0"/>
    <x v="7"/>
    <n v="10"/>
    <n v="1141.3499999999999"/>
    <n v="11413.5"/>
    <n v="0.3"/>
    <n v="1752.94"/>
    <s v="Bank Transfer"/>
    <n v="4"/>
  </r>
  <r>
    <s v="ORD-1603"/>
    <s v="2025-10-04"/>
    <x v="1"/>
    <s v="CUST-229"/>
    <s v="Heather Reed"/>
    <x v="1"/>
    <x v="1"/>
    <x v="1"/>
    <x v="1"/>
    <n v="9"/>
    <n v="1172.6099999999999"/>
    <n v="10553.49"/>
    <n v="0.2"/>
    <n v="3421.35"/>
    <s v="Bank Transfer"/>
    <n v="4"/>
  </r>
  <r>
    <s v="ORD-1604"/>
    <s v="2025-08-31"/>
    <x v="8"/>
    <s v="CUST-227"/>
    <s v="William Rivera"/>
    <x v="1"/>
    <x v="2"/>
    <x v="2"/>
    <x v="6"/>
    <n v="4"/>
    <n v="152.96"/>
    <n v="611.84"/>
    <n v="0.05"/>
    <n v="160.37"/>
    <s v="Bank Transfer"/>
    <n v="1"/>
  </r>
  <r>
    <s v="ORD-1605"/>
    <s v="2025-11-12"/>
    <x v="6"/>
    <s v="CUST-294"/>
    <s v="Adrian Green"/>
    <x v="2"/>
    <x v="0"/>
    <x v="1"/>
    <x v="4"/>
    <n v="6"/>
    <n v="356.38"/>
    <n v="2138.2800000000002"/>
    <n v="0.15"/>
    <n v="816.89"/>
    <s v="Card"/>
    <n v="1"/>
  </r>
  <r>
    <s v="ORD-1606"/>
    <s v="2025-02-06"/>
    <x v="0"/>
    <s v="CUST-160"/>
    <s v="Michael Osborne"/>
    <x v="0"/>
    <x v="1"/>
    <x v="0"/>
    <x v="10"/>
    <n v="3"/>
    <n v="946.88"/>
    <n v="2840.64"/>
    <n v="0.15"/>
    <n v="830.7"/>
    <s v="Bank Transfer"/>
    <n v="10"/>
  </r>
  <r>
    <s v="ORD-1607"/>
    <s v="2025-02-26"/>
    <x v="0"/>
    <s v="CUST-183"/>
    <s v="Jonathon Colon"/>
    <x v="1"/>
    <x v="0"/>
    <x v="2"/>
    <x v="13"/>
    <n v="4"/>
    <n v="901.56"/>
    <n v="3606.24"/>
    <n v="0.1"/>
    <n v="1486.41"/>
    <s v="Card"/>
    <n v="7"/>
  </r>
  <r>
    <s v="ORD-1608"/>
    <s v="2025-08-12"/>
    <x v="8"/>
    <s v="CUST-137"/>
    <s v="Michael Briggs"/>
    <x v="1"/>
    <x v="1"/>
    <x v="1"/>
    <x v="3"/>
    <n v="4"/>
    <n v="106.77"/>
    <n v="427.08"/>
    <n v="0.2"/>
    <n v="121.71"/>
    <s v="Card"/>
    <n v="7"/>
  </r>
  <r>
    <s v="ORD-1609"/>
    <s v="2025-05-19"/>
    <x v="7"/>
    <s v="CUST-151"/>
    <s v="Sandra Gomez"/>
    <x v="2"/>
    <x v="2"/>
    <x v="2"/>
    <x v="12"/>
    <n v="8"/>
    <n v="869.39"/>
    <n v="6955.12"/>
    <n v="0.3"/>
    <n v="1979.39"/>
    <s v="Card"/>
    <n v="10"/>
  </r>
  <r>
    <s v="ORD-1610"/>
    <s v="2025-03-29"/>
    <x v="5"/>
    <s v="CUST-294"/>
    <s v="Paul Lawrence"/>
    <x v="2"/>
    <x v="2"/>
    <x v="1"/>
    <x v="11"/>
    <n v="3"/>
    <n v="151.11000000000001"/>
    <n v="453.33"/>
    <n v="0.15"/>
    <n v="141.25"/>
    <s v="PayPal"/>
    <n v="10"/>
  </r>
  <r>
    <s v="ORD-1611"/>
    <s v="2025-04-28"/>
    <x v="9"/>
    <s v="CUST-122"/>
    <s v="Marcus Patel"/>
    <x v="2"/>
    <x v="1"/>
    <x v="1"/>
    <x v="4"/>
    <n v="10"/>
    <n v="1088.58"/>
    <n v="10885.8"/>
    <n v="0.2"/>
    <n v="1410.33"/>
    <s v="Card"/>
    <n v="10"/>
  </r>
  <r>
    <s v="ORD-1612"/>
    <s v="2025-05-07"/>
    <x v="7"/>
    <s v="CUST-163"/>
    <s v="Michael Carlson"/>
    <x v="2"/>
    <x v="1"/>
    <x v="2"/>
    <x v="13"/>
    <n v="5"/>
    <n v="37.11"/>
    <n v="185.55"/>
    <n v="0.15"/>
    <n v="40.299999999999997"/>
    <s v="Bank Transfer"/>
    <n v="4"/>
  </r>
  <r>
    <s v="ORD-1613"/>
    <s v="2025-01-21"/>
    <x v="3"/>
    <s v="CUST-220"/>
    <s v="Michael Rhodes"/>
    <x v="0"/>
    <x v="0"/>
    <x v="0"/>
    <x v="10"/>
    <n v="10"/>
    <n v="1079.94"/>
    <n v="10799.4"/>
    <n v="0.15"/>
    <n v="1449.68"/>
    <s v="PayPal"/>
    <n v="9"/>
  </r>
  <r>
    <s v="ORD-1614"/>
    <s v="2025-01-07"/>
    <x v="3"/>
    <s v="CUST-277"/>
    <s v="Michelle Thomas"/>
    <x v="0"/>
    <x v="1"/>
    <x v="2"/>
    <x v="13"/>
    <n v="2"/>
    <n v="553.88"/>
    <n v="1107.76"/>
    <n v="0.05"/>
    <n v="543.83000000000004"/>
    <s v="Card"/>
    <n v="3"/>
  </r>
  <r>
    <s v="ORD-1615"/>
    <s v="2025-12-09"/>
    <x v="4"/>
    <s v="CUST-178"/>
    <s v="Steven Scott"/>
    <x v="1"/>
    <x v="1"/>
    <x v="2"/>
    <x v="8"/>
    <n v="4"/>
    <n v="784.22"/>
    <n v="3136.88"/>
    <n v="0"/>
    <n v="1705.3"/>
    <s v="Bank Transfer"/>
    <n v="10"/>
  </r>
  <r>
    <s v="ORD-1616"/>
    <s v="2025-07-09"/>
    <x v="10"/>
    <s v="CUST-260"/>
    <s v="Michael Dyer"/>
    <x v="2"/>
    <x v="0"/>
    <x v="1"/>
    <x v="3"/>
    <n v="8"/>
    <n v="930.77"/>
    <n v="7446.16"/>
    <n v="0.3"/>
    <n v="2021.63"/>
    <s v="Bank Transfer"/>
    <n v="2"/>
  </r>
  <r>
    <s v="ORD-1617"/>
    <s v="2025-12-24"/>
    <x v="4"/>
    <s v="CUST-256"/>
    <s v="Michelle Brown"/>
    <x v="0"/>
    <x v="2"/>
    <x v="2"/>
    <x v="8"/>
    <n v="9"/>
    <n v="58.6"/>
    <n v="527.4"/>
    <n v="0.15"/>
    <n v="111.55"/>
    <s v="Bank Transfer"/>
    <n v="2"/>
  </r>
  <r>
    <s v="ORD-1618"/>
    <s v="2025-01-27"/>
    <x v="3"/>
    <s v="CUST-128"/>
    <s v="Nathan Lopez"/>
    <x v="2"/>
    <x v="3"/>
    <x v="0"/>
    <x v="2"/>
    <n v="1"/>
    <n v="627.39"/>
    <n v="627.39"/>
    <n v="0.3"/>
    <n v="177.6"/>
    <s v="PayPal"/>
    <n v="10"/>
  </r>
  <r>
    <s v="ORD-1619"/>
    <s v="2025-10-15"/>
    <x v="1"/>
    <s v="CUST-281"/>
    <s v="Wendy Jackson"/>
    <x v="1"/>
    <x v="2"/>
    <x v="1"/>
    <x v="11"/>
    <n v="6"/>
    <n v="226.82"/>
    <n v="1360.92"/>
    <n v="0.2"/>
    <n v="291.83999999999997"/>
    <s v="PayPal"/>
    <n v="4"/>
  </r>
  <r>
    <s v="ORD-1620"/>
    <s v="2025-12-26"/>
    <x v="4"/>
    <s v="CUST-153"/>
    <s v="Robert Nelson"/>
    <x v="0"/>
    <x v="2"/>
    <x v="0"/>
    <x v="0"/>
    <n v="8"/>
    <n v="890.11"/>
    <n v="7120.88"/>
    <n v="0.2"/>
    <n v="1148.1600000000001"/>
    <s v="PayPal"/>
    <n v="6"/>
  </r>
  <r>
    <s v="ORD-1621"/>
    <s v="2025-08-20"/>
    <x v="8"/>
    <s v="CUST-224"/>
    <s v="Linda Warner"/>
    <x v="0"/>
    <x v="0"/>
    <x v="2"/>
    <x v="14"/>
    <n v="7"/>
    <n v="347.03"/>
    <n v="2429.21"/>
    <n v="0"/>
    <n v="973.81"/>
    <s v="PayPal"/>
    <n v="9"/>
  </r>
  <r>
    <s v="ORD-1622"/>
    <s v="2025-12-21"/>
    <x v="4"/>
    <s v="CUST-116"/>
    <s v="Brenda Martinez"/>
    <x v="1"/>
    <x v="1"/>
    <x v="0"/>
    <x v="5"/>
    <n v="5"/>
    <n v="553.33000000000004"/>
    <n v="2766.65"/>
    <n v="0.1"/>
    <n v="572.79"/>
    <s v="Card"/>
    <n v="2"/>
  </r>
  <r>
    <s v="ORD-1623"/>
    <s v="2025-05-22"/>
    <x v="7"/>
    <s v="CUST-128"/>
    <s v="Jennifer Watkins"/>
    <x v="0"/>
    <x v="2"/>
    <x v="2"/>
    <x v="12"/>
    <n v="5"/>
    <n v="1150.74"/>
    <n v="5753.7"/>
    <n v="0"/>
    <n v="2912.83"/>
    <s v="PayPal"/>
    <n v="3"/>
  </r>
  <r>
    <s v="ORD-1624"/>
    <s v="2025-03-09"/>
    <x v="5"/>
    <s v="CUST-221"/>
    <s v="Jennifer Howard"/>
    <x v="2"/>
    <x v="1"/>
    <x v="1"/>
    <x v="9"/>
    <n v="1"/>
    <n v="365.94"/>
    <n v="365.94"/>
    <n v="0.3"/>
    <n v="85.41"/>
    <s v="PayPal"/>
    <n v="1"/>
  </r>
  <r>
    <s v="ORD-1625"/>
    <s v="2025-09-24"/>
    <x v="11"/>
    <s v="CUST-265"/>
    <s v="Rhonda Williams"/>
    <x v="2"/>
    <x v="1"/>
    <x v="2"/>
    <x v="12"/>
    <n v="2"/>
    <n v="46"/>
    <n v="92"/>
    <n v="0.05"/>
    <n v="18.88"/>
    <s v="Bank Transfer"/>
    <n v="6"/>
  </r>
  <r>
    <s v="ORD-1626"/>
    <s v="2025-10-08"/>
    <x v="1"/>
    <s v="CUST-213"/>
    <s v="Justin Kelly"/>
    <x v="2"/>
    <x v="3"/>
    <x v="0"/>
    <x v="2"/>
    <n v="8"/>
    <n v="720.16"/>
    <n v="5761.28"/>
    <n v="0.3"/>
    <n v="1362.85"/>
    <s v="Bank Transfer"/>
    <n v="3"/>
  </r>
  <r>
    <s v="ORD-1627"/>
    <s v="2025-01-25"/>
    <x v="3"/>
    <s v="CUST-137"/>
    <s v="Joseph Chapman"/>
    <x v="2"/>
    <x v="3"/>
    <x v="2"/>
    <x v="12"/>
    <n v="5"/>
    <n v="287.60000000000002"/>
    <n v="1438"/>
    <n v="0.1"/>
    <n v="209.29"/>
    <s v="PayPal"/>
    <n v="3"/>
  </r>
  <r>
    <s v="ORD-1628"/>
    <s v="2025-12-21"/>
    <x v="4"/>
    <s v="CUST-270"/>
    <s v="Zachary Hooper"/>
    <x v="1"/>
    <x v="2"/>
    <x v="0"/>
    <x v="10"/>
    <n v="9"/>
    <n v="356.59"/>
    <n v="3209.31"/>
    <n v="0.05"/>
    <n v="653.27"/>
    <s v="Card"/>
    <n v="2"/>
  </r>
  <r>
    <s v="ORD-1629"/>
    <s v="2025-04-16"/>
    <x v="9"/>
    <s v="CUST-243"/>
    <s v="Jennifer Washington"/>
    <x v="0"/>
    <x v="0"/>
    <x v="1"/>
    <x v="11"/>
    <n v="10"/>
    <n v="169.24"/>
    <n v="1692.4"/>
    <n v="0.1"/>
    <n v="612.51"/>
    <s v="Bank Transfer"/>
    <n v="6"/>
  </r>
  <r>
    <s v="ORD-1630"/>
    <s v="2025-03-04"/>
    <x v="5"/>
    <s v="CUST-106"/>
    <s v="Lindsay Taylor"/>
    <x v="2"/>
    <x v="1"/>
    <x v="2"/>
    <x v="12"/>
    <n v="6"/>
    <n v="549.15"/>
    <n v="3294.9"/>
    <n v="0.05"/>
    <n v="1053.43"/>
    <s v="Card"/>
    <n v="8"/>
  </r>
  <r>
    <s v="ORD-1631"/>
    <s v="2025-06-19"/>
    <x v="2"/>
    <s v="CUST-265"/>
    <s v="Zachary Perez"/>
    <x v="0"/>
    <x v="3"/>
    <x v="2"/>
    <x v="12"/>
    <n v="1"/>
    <n v="1164.78"/>
    <n v="1164.78"/>
    <n v="0.2"/>
    <n v="148.87"/>
    <s v="PayPal"/>
    <n v="5"/>
  </r>
  <r>
    <s v="ORD-1632"/>
    <s v="2025-02-27"/>
    <x v="0"/>
    <s v="CUST-287"/>
    <s v="Tim Gardner"/>
    <x v="2"/>
    <x v="0"/>
    <x v="0"/>
    <x v="10"/>
    <n v="10"/>
    <n v="879.68"/>
    <n v="8796.7999999999993"/>
    <n v="0.15"/>
    <n v="3099.53"/>
    <s v="Card"/>
    <n v="9"/>
  </r>
  <r>
    <s v="ORD-1633"/>
    <s v="2025-02-17"/>
    <x v="0"/>
    <s v="CUST-183"/>
    <s v="Jennifer Townsend"/>
    <x v="1"/>
    <x v="2"/>
    <x v="1"/>
    <x v="11"/>
    <n v="1"/>
    <n v="493.92"/>
    <n v="493.92"/>
    <n v="0.05"/>
    <n v="174.37"/>
    <s v="Bank Transfer"/>
    <n v="9"/>
  </r>
  <r>
    <s v="ORD-1634"/>
    <s v="2025-12-13"/>
    <x v="4"/>
    <s v="CUST-271"/>
    <s v="Jason Barrett"/>
    <x v="1"/>
    <x v="1"/>
    <x v="1"/>
    <x v="11"/>
    <n v="4"/>
    <n v="46.61"/>
    <n v="186.44"/>
    <n v="0.2"/>
    <n v="31.35"/>
    <s v="Card"/>
    <n v="8"/>
  </r>
  <r>
    <s v="ORD-1635"/>
    <s v="2025-07-04"/>
    <x v="10"/>
    <s v="CUST-201"/>
    <s v="Christopher Morgan"/>
    <x v="1"/>
    <x v="1"/>
    <x v="2"/>
    <x v="14"/>
    <n v="10"/>
    <n v="623.64"/>
    <n v="6236.4"/>
    <n v="0"/>
    <n v="1163.8399999999999"/>
    <s v="PayPal"/>
    <n v="7"/>
  </r>
  <r>
    <s v="ORD-1636"/>
    <s v="2025-10-15"/>
    <x v="1"/>
    <s v="CUST-122"/>
    <s v="Jeffrey Martin"/>
    <x v="1"/>
    <x v="1"/>
    <x v="2"/>
    <x v="6"/>
    <n v="5"/>
    <n v="427.01"/>
    <n v="2135.0500000000002"/>
    <n v="0.1"/>
    <n v="305.51"/>
    <s v="Bank Transfer"/>
    <n v="7"/>
  </r>
  <r>
    <s v="ORD-1637"/>
    <s v="2025-08-01"/>
    <x v="8"/>
    <s v="CUST-135"/>
    <s v="Tammy Gonzales"/>
    <x v="0"/>
    <x v="0"/>
    <x v="2"/>
    <x v="8"/>
    <n v="3"/>
    <n v="970.69"/>
    <n v="2912.07"/>
    <n v="0.15"/>
    <n v="640"/>
    <s v="Card"/>
    <n v="4"/>
  </r>
  <r>
    <s v="ORD-1638"/>
    <s v="2025-10-30"/>
    <x v="1"/>
    <s v="CUST-293"/>
    <s v="Angela Stevens"/>
    <x v="2"/>
    <x v="0"/>
    <x v="2"/>
    <x v="13"/>
    <n v="9"/>
    <n v="1184.23"/>
    <n v="10658.07"/>
    <n v="0"/>
    <n v="1883.69"/>
    <s v="Card"/>
    <n v="7"/>
  </r>
  <r>
    <s v="ORD-1639"/>
    <s v="2025-03-12"/>
    <x v="5"/>
    <s v="CUST-151"/>
    <s v="Dean Walsh"/>
    <x v="1"/>
    <x v="1"/>
    <x v="0"/>
    <x v="2"/>
    <n v="7"/>
    <n v="226.37"/>
    <n v="1584.59"/>
    <n v="0.15"/>
    <n v="358.14"/>
    <s v="PayPal"/>
    <n v="9"/>
  </r>
  <r>
    <s v="ORD-1640"/>
    <s v="2025-08-26"/>
    <x v="8"/>
    <s v="CUST-157"/>
    <s v="Diana Phillips"/>
    <x v="1"/>
    <x v="0"/>
    <x v="2"/>
    <x v="6"/>
    <n v="5"/>
    <n v="1004.81"/>
    <n v="5024.05"/>
    <n v="0.1"/>
    <n v="1593.25"/>
    <s v="Card"/>
    <n v="5"/>
  </r>
  <r>
    <s v="ORD-1641"/>
    <s v="2025-09-09"/>
    <x v="11"/>
    <s v="CUST-276"/>
    <s v="Anthony Miller"/>
    <x v="0"/>
    <x v="2"/>
    <x v="2"/>
    <x v="13"/>
    <n v="2"/>
    <n v="791.5"/>
    <n v="1583"/>
    <n v="0.1"/>
    <n v="545.86"/>
    <s v="Card"/>
    <n v="2"/>
  </r>
  <r>
    <s v="ORD-1642"/>
    <s v="2025-10-17"/>
    <x v="1"/>
    <s v="CUST-211"/>
    <s v="Valerie Horn"/>
    <x v="2"/>
    <x v="1"/>
    <x v="2"/>
    <x v="13"/>
    <n v="2"/>
    <n v="726.69"/>
    <n v="1453.38"/>
    <n v="0.1"/>
    <n v="415.4"/>
    <s v="Bank Transfer"/>
    <n v="2"/>
  </r>
  <r>
    <s v="ORD-1643"/>
    <s v="2025-01-30"/>
    <x v="3"/>
    <s v="CUST-137"/>
    <s v="Aaron Jones"/>
    <x v="2"/>
    <x v="1"/>
    <x v="2"/>
    <x v="14"/>
    <n v="10"/>
    <n v="40.700000000000003"/>
    <n v="407"/>
    <n v="0.1"/>
    <n v="177.6"/>
    <s v="Bank Transfer"/>
    <n v="3"/>
  </r>
  <r>
    <s v="ORD-1644"/>
    <s v="2025-07-02"/>
    <x v="10"/>
    <s v="CUST-112"/>
    <s v="Kayla Brooks"/>
    <x v="2"/>
    <x v="3"/>
    <x v="2"/>
    <x v="12"/>
    <n v="1"/>
    <n v="341.75"/>
    <n v="341.75"/>
    <n v="0.15"/>
    <n v="85.84"/>
    <s v="Bank Transfer"/>
    <n v="2"/>
  </r>
  <r>
    <s v="ORD-1645"/>
    <s v="2025-10-06"/>
    <x v="1"/>
    <s v="CUST-182"/>
    <s v="Eric Dominguez"/>
    <x v="2"/>
    <x v="3"/>
    <x v="0"/>
    <x v="10"/>
    <n v="3"/>
    <n v="922.33"/>
    <n v="2766.99"/>
    <n v="0.2"/>
    <n v="551.07000000000005"/>
    <s v="PayPal"/>
    <n v="6"/>
  </r>
  <r>
    <s v="ORD-1646"/>
    <s v="2025-09-23"/>
    <x v="11"/>
    <s v="CUST-172"/>
    <s v="Vanessa Cox"/>
    <x v="2"/>
    <x v="1"/>
    <x v="1"/>
    <x v="9"/>
    <n v="10"/>
    <n v="434.92"/>
    <n v="4349.2"/>
    <n v="0.05"/>
    <n v="2251.14"/>
    <s v="PayPal"/>
    <n v="6"/>
  </r>
  <r>
    <s v="ORD-1647"/>
    <s v="2025-10-14"/>
    <x v="1"/>
    <s v="CUST-257"/>
    <s v="Michael Nash"/>
    <x v="0"/>
    <x v="0"/>
    <x v="1"/>
    <x v="1"/>
    <n v="4"/>
    <n v="202.37"/>
    <n v="809.48"/>
    <n v="0.05"/>
    <n v="167.16"/>
    <s v="PayPal"/>
    <n v="8"/>
  </r>
  <r>
    <s v="ORD-1648"/>
    <s v="2025-12-20"/>
    <x v="4"/>
    <s v="CUST-192"/>
    <s v="Austin Williams Jr."/>
    <x v="1"/>
    <x v="1"/>
    <x v="1"/>
    <x v="1"/>
    <n v="3"/>
    <n v="1109.6199999999999"/>
    <n v="3328.86"/>
    <n v="0.15"/>
    <n v="1162.1300000000001"/>
    <s v="Bank Transfer"/>
    <n v="9"/>
  </r>
  <r>
    <s v="ORD-1649"/>
    <s v="2025-12-22"/>
    <x v="4"/>
    <s v="CUST-136"/>
    <s v="Timothy Jimenez"/>
    <x v="0"/>
    <x v="2"/>
    <x v="2"/>
    <x v="12"/>
    <n v="5"/>
    <n v="53.94"/>
    <n v="269.7"/>
    <n v="0"/>
    <n v="124.35"/>
    <s v="PayPal"/>
    <n v="3"/>
  </r>
  <r>
    <s v="ORD-1650"/>
    <s v="2025-09-05"/>
    <x v="11"/>
    <s v="CUST-293"/>
    <s v="Dr. Brandon Bullock DDS"/>
    <x v="2"/>
    <x v="0"/>
    <x v="1"/>
    <x v="15"/>
    <n v="2"/>
    <n v="521.27"/>
    <n v="1042.54"/>
    <n v="0"/>
    <n v="540.98"/>
    <s v="Card"/>
    <n v="2"/>
  </r>
  <r>
    <s v="ORD-1651"/>
    <s v="2025-05-10"/>
    <x v="7"/>
    <s v="CUST-111"/>
    <s v="Teresa Ward"/>
    <x v="1"/>
    <x v="3"/>
    <x v="1"/>
    <x v="4"/>
    <n v="9"/>
    <n v="719.95"/>
    <n v="6479.55"/>
    <n v="0.15"/>
    <n v="2767.2"/>
    <s v="Bank Transfer"/>
    <n v="1"/>
  </r>
  <r>
    <s v="ORD-1652"/>
    <s v="2025-06-29"/>
    <x v="2"/>
    <s v="CUST-107"/>
    <s v="Craig Rivera"/>
    <x v="1"/>
    <x v="2"/>
    <x v="1"/>
    <x v="1"/>
    <n v="10"/>
    <n v="262.37"/>
    <n v="2623.7"/>
    <n v="0.05"/>
    <n v="1186.6500000000001"/>
    <s v="Bank Transfer"/>
    <n v="5"/>
  </r>
  <r>
    <s v="ORD-1653"/>
    <s v="2025-11-10"/>
    <x v="6"/>
    <s v="CUST-161"/>
    <s v="Caitlin Elliott"/>
    <x v="0"/>
    <x v="0"/>
    <x v="0"/>
    <x v="2"/>
    <n v="6"/>
    <n v="209.46"/>
    <n v="1256.76"/>
    <n v="0.2"/>
    <n v="238.96"/>
    <s v="Card"/>
    <n v="10"/>
  </r>
  <r>
    <s v="ORD-1654"/>
    <s v="2025-10-03"/>
    <x v="1"/>
    <s v="CUST-101"/>
    <s v="Brandon Jones"/>
    <x v="0"/>
    <x v="0"/>
    <x v="1"/>
    <x v="9"/>
    <n v="4"/>
    <n v="864.66"/>
    <n v="3458.64"/>
    <n v="0.1"/>
    <n v="1498.15"/>
    <s v="Card"/>
    <n v="9"/>
  </r>
  <r>
    <s v="ORD-1655"/>
    <s v="2025-02-24"/>
    <x v="0"/>
    <s v="CUST-146"/>
    <s v="Katrina Morgan"/>
    <x v="2"/>
    <x v="1"/>
    <x v="0"/>
    <x v="7"/>
    <n v="6"/>
    <n v="843.8"/>
    <n v="5062.8"/>
    <n v="0.05"/>
    <n v="1799.46"/>
    <s v="PayPal"/>
    <n v="4"/>
  </r>
  <r>
    <s v="ORD-1656"/>
    <s v="2025-02-26"/>
    <x v="0"/>
    <s v="CUST-233"/>
    <s v="Nicholas Walker"/>
    <x v="1"/>
    <x v="1"/>
    <x v="0"/>
    <x v="10"/>
    <n v="7"/>
    <n v="153.16"/>
    <n v="1072.1199999999999"/>
    <n v="0.1"/>
    <n v="482.99"/>
    <s v="PayPal"/>
    <n v="5"/>
  </r>
  <r>
    <s v="ORD-1657"/>
    <s v="2025-08-22"/>
    <x v="8"/>
    <s v="CUST-253"/>
    <s v="Angela Conrad"/>
    <x v="0"/>
    <x v="3"/>
    <x v="0"/>
    <x v="0"/>
    <n v="2"/>
    <n v="407.18"/>
    <n v="814.36"/>
    <n v="0"/>
    <n v="322.56"/>
    <s v="Bank Transfer"/>
    <n v="8"/>
  </r>
  <r>
    <s v="ORD-1658"/>
    <s v="2025-02-05"/>
    <x v="0"/>
    <s v="CUST-221"/>
    <s v="Lindsey Ortega"/>
    <x v="0"/>
    <x v="3"/>
    <x v="1"/>
    <x v="9"/>
    <n v="7"/>
    <n v="362.9"/>
    <n v="2540.3000000000002"/>
    <n v="0.15"/>
    <n v="1024.54"/>
    <s v="Card"/>
    <n v="1"/>
  </r>
  <r>
    <s v="ORD-1659"/>
    <s v="2025-02-13"/>
    <x v="0"/>
    <s v="CUST-130"/>
    <s v="Lisa Walls"/>
    <x v="1"/>
    <x v="1"/>
    <x v="0"/>
    <x v="7"/>
    <n v="2"/>
    <n v="487.72"/>
    <n v="975.44"/>
    <n v="0.2"/>
    <n v="223.63"/>
    <s v="PayPal"/>
    <n v="10"/>
  </r>
  <r>
    <s v="ORD-1660"/>
    <s v="2025-11-01"/>
    <x v="6"/>
    <s v="CUST-203"/>
    <s v="Joseph Lindsey"/>
    <x v="1"/>
    <x v="2"/>
    <x v="1"/>
    <x v="4"/>
    <n v="3"/>
    <n v="96.36"/>
    <n v="289.08"/>
    <n v="0.05"/>
    <n v="113.85"/>
    <s v="PayPal"/>
    <n v="8"/>
  </r>
  <r>
    <s v="ORD-1661"/>
    <s v="2025-07-02"/>
    <x v="10"/>
    <s v="CUST-221"/>
    <s v="Brianna Horne"/>
    <x v="0"/>
    <x v="1"/>
    <x v="2"/>
    <x v="14"/>
    <n v="10"/>
    <n v="342.11"/>
    <n v="3421.1"/>
    <n v="0.3"/>
    <n v="413.6"/>
    <s v="PayPal"/>
    <n v="9"/>
  </r>
  <r>
    <s v="ORD-1662"/>
    <s v="2025-04-29"/>
    <x v="9"/>
    <s v="CUST-260"/>
    <s v="John Weaver"/>
    <x v="1"/>
    <x v="0"/>
    <x v="2"/>
    <x v="12"/>
    <n v="8"/>
    <n v="147.47999999999999"/>
    <n v="1179.8399999999999"/>
    <n v="0.1"/>
    <n v="376.18"/>
    <s v="Card"/>
    <n v="1"/>
  </r>
  <r>
    <s v="ORD-1663"/>
    <s v="2025-06-17"/>
    <x v="2"/>
    <s v="CUST-139"/>
    <s v="Lisa Ewing"/>
    <x v="2"/>
    <x v="0"/>
    <x v="1"/>
    <x v="3"/>
    <n v="1"/>
    <n v="1167.05"/>
    <n v="1167.05"/>
    <n v="0.15"/>
    <n v="305.7"/>
    <s v="Card"/>
    <n v="9"/>
  </r>
  <r>
    <s v="ORD-1664"/>
    <s v="2025-05-14"/>
    <x v="7"/>
    <s v="CUST-238"/>
    <s v="Rachel Young"/>
    <x v="2"/>
    <x v="0"/>
    <x v="2"/>
    <x v="13"/>
    <n v="4"/>
    <n v="366.4"/>
    <n v="1465.6"/>
    <n v="0.15"/>
    <n v="440.87"/>
    <s v="Card"/>
    <n v="7"/>
  </r>
  <r>
    <s v="ORD-1665"/>
    <s v="2025-01-19"/>
    <x v="3"/>
    <s v="CUST-108"/>
    <s v="Jonathan Wilson"/>
    <x v="1"/>
    <x v="3"/>
    <x v="1"/>
    <x v="3"/>
    <n v="8"/>
    <n v="391.18"/>
    <n v="3129.44"/>
    <n v="0.15"/>
    <n v="992.13"/>
    <s v="Bank Transfer"/>
    <n v="3"/>
  </r>
  <r>
    <s v="ORD-1666"/>
    <s v="2025-02-26"/>
    <x v="0"/>
    <s v="CUST-245"/>
    <s v="Maria Guzman"/>
    <x v="0"/>
    <x v="1"/>
    <x v="2"/>
    <x v="13"/>
    <n v="3"/>
    <n v="388.7"/>
    <n v="1166.0999999999999"/>
    <n v="0.15"/>
    <n v="351.89"/>
    <s v="Bank Transfer"/>
    <n v="9"/>
  </r>
  <r>
    <s v="ORD-1667"/>
    <s v="2025-09-17"/>
    <x v="11"/>
    <s v="CUST-114"/>
    <s v="Daniel Malone"/>
    <x v="2"/>
    <x v="3"/>
    <x v="0"/>
    <x v="5"/>
    <n v="10"/>
    <n v="574.39"/>
    <n v="5743.9"/>
    <n v="0.2"/>
    <n v="956.98"/>
    <s v="PayPal"/>
    <n v="10"/>
  </r>
  <r>
    <s v="ORD-1668"/>
    <s v="2025-01-15"/>
    <x v="3"/>
    <s v="CUST-251"/>
    <s v="Brian Hawkins"/>
    <x v="1"/>
    <x v="2"/>
    <x v="2"/>
    <x v="14"/>
    <n v="6"/>
    <n v="924.44"/>
    <n v="5546.64"/>
    <n v="0.1"/>
    <n v="2105.65"/>
    <s v="PayPal"/>
    <n v="6"/>
  </r>
  <r>
    <s v="ORD-1669"/>
    <s v="2025-02-19"/>
    <x v="0"/>
    <s v="CUST-209"/>
    <s v="Kimberly Miller"/>
    <x v="2"/>
    <x v="3"/>
    <x v="0"/>
    <x v="5"/>
    <n v="1"/>
    <n v="922.93"/>
    <n v="922.93"/>
    <n v="0.3"/>
    <n v="267.14"/>
    <s v="PayPal"/>
    <n v="6"/>
  </r>
  <r>
    <s v="ORD-1670"/>
    <s v="2025-02-13"/>
    <x v="0"/>
    <s v="CUST-276"/>
    <s v="Christine Gray"/>
    <x v="1"/>
    <x v="3"/>
    <x v="1"/>
    <x v="4"/>
    <n v="4"/>
    <n v="312.18"/>
    <n v="1248.72"/>
    <n v="0.3"/>
    <n v="371.63"/>
    <s v="Card"/>
    <n v="6"/>
  </r>
  <r>
    <s v="ORD-1671"/>
    <s v="2025-08-05"/>
    <x v="8"/>
    <s v="CUST-245"/>
    <s v="David Reyes"/>
    <x v="0"/>
    <x v="1"/>
    <x v="1"/>
    <x v="1"/>
    <n v="9"/>
    <n v="404.82"/>
    <n v="3643.38"/>
    <n v="0.15"/>
    <n v="888.47"/>
    <s v="PayPal"/>
    <n v="1"/>
  </r>
  <r>
    <s v="ORD-1672"/>
    <s v="2025-07-19"/>
    <x v="10"/>
    <s v="CUST-182"/>
    <s v="Nicholas Johnson"/>
    <x v="0"/>
    <x v="0"/>
    <x v="0"/>
    <x v="7"/>
    <n v="10"/>
    <n v="46.24"/>
    <n v="462.4"/>
    <n v="0.1"/>
    <n v="166.01"/>
    <s v="PayPal"/>
    <n v="2"/>
  </r>
  <r>
    <s v="ORD-1673"/>
    <s v="2025-11-11"/>
    <x v="6"/>
    <s v="CUST-176"/>
    <s v="Jessica Herman"/>
    <x v="2"/>
    <x v="1"/>
    <x v="0"/>
    <x v="10"/>
    <n v="6"/>
    <n v="606.14"/>
    <n v="3636.84"/>
    <n v="0.3"/>
    <n v="1054.43"/>
    <s v="Card"/>
    <n v="8"/>
  </r>
  <r>
    <s v="ORD-1674"/>
    <s v="2025-10-21"/>
    <x v="1"/>
    <s v="CUST-202"/>
    <s v="Roberta Black"/>
    <x v="1"/>
    <x v="0"/>
    <x v="0"/>
    <x v="0"/>
    <n v="9"/>
    <n v="272.61"/>
    <n v="2453.4899999999998"/>
    <n v="0.1"/>
    <n v="1172.5"/>
    <s v="Bank Transfer"/>
    <n v="10"/>
  </r>
  <r>
    <s v="ORD-1675"/>
    <s v="2025-09-01"/>
    <x v="11"/>
    <s v="CUST-209"/>
    <s v="Margaret Williamson"/>
    <x v="1"/>
    <x v="3"/>
    <x v="1"/>
    <x v="9"/>
    <n v="6"/>
    <n v="342.57"/>
    <n v="2055.42"/>
    <n v="0.2"/>
    <n v="377.42"/>
    <s v="Card"/>
    <n v="5"/>
  </r>
  <r>
    <s v="ORD-1676"/>
    <s v="2025-07-25"/>
    <x v="10"/>
    <s v="CUST-164"/>
    <s v="John Anderson"/>
    <x v="0"/>
    <x v="1"/>
    <x v="0"/>
    <x v="2"/>
    <n v="7"/>
    <n v="802.88"/>
    <n v="5620.16"/>
    <n v="0.1"/>
    <n v="2377.17"/>
    <s v="Bank Transfer"/>
    <n v="9"/>
  </r>
  <r>
    <s v="ORD-1677"/>
    <s v="2025-12-05"/>
    <x v="4"/>
    <s v="CUST-290"/>
    <s v="Mr. Ian Gonzales DDS"/>
    <x v="2"/>
    <x v="3"/>
    <x v="1"/>
    <x v="1"/>
    <n v="9"/>
    <n v="1038"/>
    <n v="9342"/>
    <n v="0.2"/>
    <n v="2618.14"/>
    <s v="Bank Transfer"/>
    <n v="9"/>
  </r>
  <r>
    <s v="ORD-1678"/>
    <s v="2025-07-06"/>
    <x v="10"/>
    <s v="CUST-218"/>
    <s v="Cassie Ortiz"/>
    <x v="1"/>
    <x v="2"/>
    <x v="0"/>
    <x v="7"/>
    <n v="10"/>
    <n v="877.41"/>
    <n v="8774.1"/>
    <n v="0"/>
    <n v="2992.78"/>
    <s v="Card"/>
    <n v="5"/>
  </r>
  <r>
    <s v="ORD-1679"/>
    <s v="2025-07-31"/>
    <x v="10"/>
    <s v="CUST-168"/>
    <s v="Amy Barron"/>
    <x v="2"/>
    <x v="2"/>
    <x v="2"/>
    <x v="13"/>
    <n v="6"/>
    <n v="1035.02"/>
    <n v="6210.12"/>
    <n v="0"/>
    <n v="1840.86"/>
    <s v="PayPal"/>
    <n v="10"/>
  </r>
  <r>
    <s v="ORD-1680"/>
    <s v="2025-06-08"/>
    <x v="2"/>
    <s v="CUST-218"/>
    <s v="Jessica Mullins"/>
    <x v="2"/>
    <x v="1"/>
    <x v="1"/>
    <x v="3"/>
    <n v="4"/>
    <n v="154"/>
    <n v="616"/>
    <n v="0.05"/>
    <n v="315.38"/>
    <s v="PayPal"/>
    <n v="1"/>
  </r>
  <r>
    <s v="ORD-1681"/>
    <s v="2025-05-23"/>
    <x v="7"/>
    <s v="CUST-268"/>
    <s v="Ryan Young"/>
    <x v="0"/>
    <x v="2"/>
    <x v="1"/>
    <x v="15"/>
    <n v="5"/>
    <n v="180.99"/>
    <n v="904.95"/>
    <n v="0.1"/>
    <n v="190.69"/>
    <s v="Bank Transfer"/>
    <n v="1"/>
  </r>
  <r>
    <s v="ORD-1682"/>
    <s v="2025-06-02"/>
    <x v="2"/>
    <s v="CUST-116"/>
    <s v="Robin Marks"/>
    <x v="2"/>
    <x v="3"/>
    <x v="0"/>
    <x v="7"/>
    <n v="1"/>
    <n v="85.29"/>
    <n v="85.29"/>
    <n v="0"/>
    <n v="36.200000000000003"/>
    <s v="Bank Transfer"/>
    <n v="2"/>
  </r>
  <r>
    <s v="ORD-1683"/>
    <s v="2025-03-03"/>
    <x v="5"/>
    <s v="CUST-233"/>
    <s v="Mark Murphy"/>
    <x v="0"/>
    <x v="3"/>
    <x v="2"/>
    <x v="12"/>
    <n v="4"/>
    <n v="152.08000000000001"/>
    <n v="608.32000000000005"/>
    <n v="0.3"/>
    <n v="149"/>
    <s v="PayPal"/>
    <n v="2"/>
  </r>
  <r>
    <s v="ORD-1684"/>
    <s v="2025-10-27"/>
    <x v="1"/>
    <s v="CUST-288"/>
    <s v="Nicholas Mercado"/>
    <x v="2"/>
    <x v="2"/>
    <x v="1"/>
    <x v="9"/>
    <n v="2"/>
    <n v="932.37"/>
    <n v="1864.74"/>
    <n v="0.1"/>
    <n v="701.99"/>
    <s v="PayPal"/>
    <n v="4"/>
  </r>
  <r>
    <s v="ORD-1685"/>
    <s v="2025-05-11"/>
    <x v="7"/>
    <s v="CUST-250"/>
    <s v="Sophia Johnson"/>
    <x v="1"/>
    <x v="1"/>
    <x v="1"/>
    <x v="1"/>
    <n v="3"/>
    <n v="272.64999999999998"/>
    <n v="817.95"/>
    <n v="0.1"/>
    <n v="275.48"/>
    <s v="Bank Transfer"/>
    <n v="6"/>
  </r>
  <r>
    <s v="ORD-1686"/>
    <s v="2025-05-23"/>
    <x v="7"/>
    <s v="CUST-300"/>
    <s v="Beth Martin"/>
    <x v="1"/>
    <x v="3"/>
    <x v="0"/>
    <x v="0"/>
    <n v="6"/>
    <n v="663.98"/>
    <n v="3983.88"/>
    <n v="0.15"/>
    <n v="937.68"/>
    <s v="PayPal"/>
    <n v="6"/>
  </r>
  <r>
    <s v="ORD-1687"/>
    <s v="2025-01-28"/>
    <x v="3"/>
    <s v="CUST-276"/>
    <s v="Christopher Moore MD"/>
    <x v="0"/>
    <x v="2"/>
    <x v="2"/>
    <x v="6"/>
    <n v="10"/>
    <n v="61.08"/>
    <n v="610.79999999999995"/>
    <n v="0.3"/>
    <n v="121.9"/>
    <s v="PayPal"/>
    <n v="9"/>
  </r>
  <r>
    <s v="ORD-1688"/>
    <s v="2025-05-02"/>
    <x v="7"/>
    <s v="CUST-213"/>
    <s v="Robert Bates"/>
    <x v="2"/>
    <x v="0"/>
    <x v="2"/>
    <x v="8"/>
    <n v="6"/>
    <n v="1085.73"/>
    <n v="6514.38"/>
    <n v="0.3"/>
    <n v="2285.41"/>
    <s v="PayPal"/>
    <n v="5"/>
  </r>
  <r>
    <s v="ORD-1689"/>
    <s v="2025-11-20"/>
    <x v="6"/>
    <s v="CUST-181"/>
    <s v="Katherine Henderson"/>
    <x v="0"/>
    <x v="1"/>
    <x v="2"/>
    <x v="6"/>
    <n v="4"/>
    <n v="370.96"/>
    <n v="1483.84"/>
    <n v="0.05"/>
    <n v="258.87"/>
    <s v="Card"/>
    <n v="5"/>
  </r>
  <r>
    <s v="ORD-1690"/>
    <s v="2025-02-21"/>
    <x v="0"/>
    <s v="CUST-141"/>
    <s v="Brittany Steele"/>
    <x v="0"/>
    <x v="3"/>
    <x v="1"/>
    <x v="3"/>
    <n v="8"/>
    <n v="889.59"/>
    <n v="7116.72"/>
    <n v="0.1"/>
    <n v="1684.82"/>
    <s v="Bank Transfer"/>
    <n v="2"/>
  </r>
  <r>
    <s v="ORD-1691"/>
    <s v="2025-08-21"/>
    <x v="8"/>
    <s v="CUST-277"/>
    <s v="Tiffany Dean"/>
    <x v="1"/>
    <x v="0"/>
    <x v="2"/>
    <x v="13"/>
    <n v="10"/>
    <n v="880.49"/>
    <n v="8804.9"/>
    <n v="0.2"/>
    <n v="1795.4"/>
    <s v="Bank Transfer"/>
    <n v="3"/>
  </r>
  <r>
    <s v="ORD-1692"/>
    <s v="2025-06-10"/>
    <x v="2"/>
    <s v="CUST-247"/>
    <s v="Dylan Ryan"/>
    <x v="1"/>
    <x v="0"/>
    <x v="0"/>
    <x v="7"/>
    <n v="3"/>
    <n v="23.63"/>
    <n v="70.89"/>
    <n v="0.05"/>
    <n v="20.11"/>
    <s v="Card"/>
    <n v="4"/>
  </r>
  <r>
    <s v="ORD-1693"/>
    <s v="2025-03-10"/>
    <x v="5"/>
    <s v="CUST-166"/>
    <s v="Pamela Lynn"/>
    <x v="1"/>
    <x v="3"/>
    <x v="0"/>
    <x v="10"/>
    <n v="10"/>
    <n v="829.19"/>
    <n v="8291.9"/>
    <n v="0.1"/>
    <n v="2756.76"/>
    <s v="PayPal"/>
    <n v="4"/>
  </r>
  <r>
    <s v="ORD-1694"/>
    <s v="2025-10-20"/>
    <x v="1"/>
    <s v="CUST-157"/>
    <s v="James Morgan"/>
    <x v="1"/>
    <x v="0"/>
    <x v="1"/>
    <x v="3"/>
    <n v="6"/>
    <n v="234.63"/>
    <n v="1407.78"/>
    <n v="0.15"/>
    <n v="205.93"/>
    <s v="Bank Transfer"/>
    <n v="10"/>
  </r>
  <r>
    <s v="ORD-1695"/>
    <s v="2025-03-28"/>
    <x v="5"/>
    <s v="CUST-112"/>
    <s v="Linda Anderson"/>
    <x v="2"/>
    <x v="1"/>
    <x v="0"/>
    <x v="10"/>
    <n v="2"/>
    <n v="1169.47"/>
    <n v="2338.94"/>
    <n v="0.05"/>
    <n v="989.42"/>
    <s v="Bank Transfer"/>
    <n v="5"/>
  </r>
  <r>
    <s v="ORD-1696"/>
    <s v="2025-09-27"/>
    <x v="11"/>
    <s v="CUST-211"/>
    <s v="Edward Matthews"/>
    <x v="2"/>
    <x v="1"/>
    <x v="1"/>
    <x v="1"/>
    <n v="6"/>
    <n v="220.75"/>
    <n v="1324.5"/>
    <n v="0.2"/>
    <n v="533.04"/>
    <s v="Card"/>
    <n v="4"/>
  </r>
  <r>
    <s v="ORD-1697"/>
    <s v="2025-09-11"/>
    <x v="11"/>
    <s v="CUST-197"/>
    <s v="Patrick Vance"/>
    <x v="1"/>
    <x v="1"/>
    <x v="0"/>
    <x v="10"/>
    <n v="4"/>
    <n v="1136.3399999999999"/>
    <n v="4545.3599999999997"/>
    <n v="0.1"/>
    <n v="1778.75"/>
    <s v="Card"/>
    <n v="10"/>
  </r>
  <r>
    <s v="ORD-1698"/>
    <s v="2025-01-15"/>
    <x v="3"/>
    <s v="CUST-174"/>
    <s v="Connie Armstrong"/>
    <x v="2"/>
    <x v="2"/>
    <x v="1"/>
    <x v="11"/>
    <n v="4"/>
    <n v="513.63"/>
    <n v="2054.52"/>
    <n v="0.15"/>
    <n v="406.92"/>
    <s v="Bank Transfer"/>
    <n v="8"/>
  </r>
  <r>
    <s v="ORD-1699"/>
    <s v="2025-08-29"/>
    <x v="8"/>
    <s v="CUST-134"/>
    <s v="Linda Schwartz"/>
    <x v="2"/>
    <x v="1"/>
    <x v="1"/>
    <x v="11"/>
    <n v="10"/>
    <n v="827.44"/>
    <n v="8274.4"/>
    <n v="0.15"/>
    <n v="3627.07"/>
    <s v="Bank Transfer"/>
    <n v="4"/>
  </r>
  <r>
    <s v="ORD-1700"/>
    <s v="2025-10-13"/>
    <x v="1"/>
    <s v="CUST-115"/>
    <s v="Hannah Lee PhD"/>
    <x v="1"/>
    <x v="3"/>
    <x v="0"/>
    <x v="7"/>
    <n v="7"/>
    <n v="888.6"/>
    <n v="6220.2"/>
    <n v="0.1"/>
    <n v="2915.41"/>
    <s v="Card"/>
    <n v="8"/>
  </r>
  <r>
    <s v="ORD-1701"/>
    <s v="2025-09-16"/>
    <x v="11"/>
    <s v="CUST-258"/>
    <s v="Devon Gregory"/>
    <x v="2"/>
    <x v="3"/>
    <x v="2"/>
    <x v="14"/>
    <n v="10"/>
    <n v="857.29"/>
    <n v="8572.9"/>
    <n v="0"/>
    <n v="4696.71"/>
    <s v="PayPal"/>
    <n v="6"/>
  </r>
  <r>
    <s v="ORD-1702"/>
    <s v="2025-09-10"/>
    <x v="11"/>
    <s v="CUST-186"/>
    <s v="Jennifer Camacho"/>
    <x v="2"/>
    <x v="2"/>
    <x v="1"/>
    <x v="9"/>
    <n v="1"/>
    <n v="704.97"/>
    <n v="704.97"/>
    <n v="0.1"/>
    <n v="305.85000000000002"/>
    <s v="Card"/>
    <n v="6"/>
  </r>
  <r>
    <s v="ORD-1703"/>
    <s v="2025-03-07"/>
    <x v="5"/>
    <s v="CUST-227"/>
    <s v="Andrew Jenkins"/>
    <x v="2"/>
    <x v="3"/>
    <x v="0"/>
    <x v="5"/>
    <n v="7"/>
    <n v="187.32"/>
    <n v="1311.24"/>
    <n v="0"/>
    <n v="556.87"/>
    <s v="PayPal"/>
    <n v="5"/>
  </r>
  <r>
    <s v="ORD-1704"/>
    <s v="2025-06-11"/>
    <x v="2"/>
    <s v="CUST-288"/>
    <s v="Lori Holden"/>
    <x v="2"/>
    <x v="2"/>
    <x v="2"/>
    <x v="14"/>
    <n v="5"/>
    <n v="630.03"/>
    <n v="3150.15"/>
    <n v="0.15"/>
    <n v="516.6"/>
    <s v="Bank Transfer"/>
    <n v="8"/>
  </r>
  <r>
    <s v="ORD-1705"/>
    <s v="2025-05-14"/>
    <x v="7"/>
    <s v="CUST-141"/>
    <s v="Lori Green"/>
    <x v="0"/>
    <x v="1"/>
    <x v="1"/>
    <x v="15"/>
    <n v="3"/>
    <n v="84.39"/>
    <n v="253.17"/>
    <n v="0.05"/>
    <n v="128.83000000000001"/>
    <s v="PayPal"/>
    <n v="2"/>
  </r>
  <r>
    <s v="ORD-1706"/>
    <s v="2025-08-23"/>
    <x v="8"/>
    <s v="CUST-226"/>
    <s v="Michael Gordon"/>
    <x v="1"/>
    <x v="2"/>
    <x v="2"/>
    <x v="6"/>
    <n v="8"/>
    <n v="440.69"/>
    <n v="3525.52"/>
    <n v="0.3"/>
    <n v="803.68"/>
    <s v="Card"/>
    <n v="6"/>
  </r>
  <r>
    <s v="ORD-1707"/>
    <s v="2025-05-20"/>
    <x v="7"/>
    <s v="CUST-244"/>
    <s v="Paul Calderon"/>
    <x v="0"/>
    <x v="2"/>
    <x v="1"/>
    <x v="15"/>
    <n v="5"/>
    <n v="233.17"/>
    <n v="1165.8499999999999"/>
    <n v="0.05"/>
    <n v="276.92"/>
    <s v="Bank Transfer"/>
    <n v="1"/>
  </r>
  <r>
    <s v="ORD-1708"/>
    <s v="2025-09-13"/>
    <x v="11"/>
    <s v="CUST-273"/>
    <s v="Mr. Gregory Lynch"/>
    <x v="1"/>
    <x v="3"/>
    <x v="0"/>
    <x v="5"/>
    <n v="3"/>
    <n v="511.37"/>
    <n v="1534.11"/>
    <n v="0"/>
    <n v="692.71"/>
    <s v="Card"/>
    <n v="5"/>
  </r>
  <r>
    <s v="ORD-1709"/>
    <s v="2025-03-20"/>
    <x v="5"/>
    <s v="CUST-107"/>
    <s v="Joshua Peterson"/>
    <x v="1"/>
    <x v="1"/>
    <x v="0"/>
    <x v="0"/>
    <n v="7"/>
    <n v="460.8"/>
    <n v="3225.6"/>
    <n v="0"/>
    <n v="694.18"/>
    <s v="Bank Transfer"/>
    <n v="8"/>
  </r>
  <r>
    <s v="ORD-1710"/>
    <s v="2025-12-02"/>
    <x v="4"/>
    <s v="CUST-259"/>
    <s v="Tyler Benton"/>
    <x v="2"/>
    <x v="3"/>
    <x v="2"/>
    <x v="8"/>
    <n v="10"/>
    <n v="796.45"/>
    <n v="7964.5"/>
    <n v="0.1"/>
    <n v="1161.8800000000001"/>
    <s v="Bank Transfer"/>
    <n v="10"/>
  </r>
  <r>
    <s v="ORD-1711"/>
    <s v="2025-01-29"/>
    <x v="3"/>
    <s v="CUST-290"/>
    <s v="Patricia Brooks"/>
    <x v="1"/>
    <x v="1"/>
    <x v="1"/>
    <x v="15"/>
    <n v="1"/>
    <n v="965.84"/>
    <n v="965.84"/>
    <n v="0.1"/>
    <n v="365.72"/>
    <s v="Card"/>
    <n v="7"/>
  </r>
  <r>
    <s v="ORD-1712"/>
    <s v="2025-04-17"/>
    <x v="9"/>
    <s v="CUST-141"/>
    <s v="Michelle Chandler"/>
    <x v="2"/>
    <x v="1"/>
    <x v="2"/>
    <x v="12"/>
    <n v="4"/>
    <n v="1158.76"/>
    <n v="4635.04"/>
    <n v="0.15"/>
    <n v="2026.33"/>
    <s v="PayPal"/>
    <n v="3"/>
  </r>
  <r>
    <s v="ORD-1713"/>
    <s v="2025-06-08"/>
    <x v="2"/>
    <s v="CUST-275"/>
    <s v="Chad Castro"/>
    <x v="0"/>
    <x v="2"/>
    <x v="1"/>
    <x v="11"/>
    <n v="8"/>
    <n v="965.3"/>
    <n v="7722.4"/>
    <n v="0.3"/>
    <n v="1229.57"/>
    <s v="PayPal"/>
    <n v="2"/>
  </r>
  <r>
    <s v="ORD-1714"/>
    <s v="2025-10-16"/>
    <x v="1"/>
    <s v="CUST-253"/>
    <s v="Hannah Owens"/>
    <x v="2"/>
    <x v="0"/>
    <x v="2"/>
    <x v="14"/>
    <n v="4"/>
    <n v="597.76"/>
    <n v="2391.04"/>
    <n v="0.15"/>
    <n v="730.49"/>
    <s v="PayPal"/>
    <n v="6"/>
  </r>
  <r>
    <s v="ORD-1715"/>
    <s v="2025-06-24"/>
    <x v="2"/>
    <s v="CUST-218"/>
    <s v="Felicia Lewis"/>
    <x v="0"/>
    <x v="2"/>
    <x v="0"/>
    <x v="10"/>
    <n v="7"/>
    <n v="764.21"/>
    <n v="5349.47"/>
    <n v="0"/>
    <n v="2855.68"/>
    <s v="Bank Transfer"/>
    <n v="3"/>
  </r>
  <r>
    <s v="ORD-1716"/>
    <s v="2025-09-02"/>
    <x v="11"/>
    <s v="CUST-176"/>
    <s v="Brandon Smith"/>
    <x v="1"/>
    <x v="2"/>
    <x v="2"/>
    <x v="14"/>
    <n v="9"/>
    <n v="119.08"/>
    <n v="1071.72"/>
    <n v="0.15"/>
    <n v="341.66"/>
    <s v="Bank Transfer"/>
    <n v="5"/>
  </r>
  <r>
    <s v="ORD-1717"/>
    <s v="2025-01-24"/>
    <x v="3"/>
    <s v="CUST-231"/>
    <s v="Kevin Kelly"/>
    <x v="1"/>
    <x v="1"/>
    <x v="1"/>
    <x v="9"/>
    <n v="7"/>
    <n v="368.67"/>
    <n v="2580.69"/>
    <n v="0"/>
    <n v="850.6"/>
    <s v="PayPal"/>
    <n v="2"/>
  </r>
  <r>
    <s v="ORD-1718"/>
    <s v="2025-09-15"/>
    <x v="11"/>
    <s v="CUST-104"/>
    <s v="Andrew Norman PhD"/>
    <x v="1"/>
    <x v="1"/>
    <x v="2"/>
    <x v="14"/>
    <n v="5"/>
    <n v="439.44"/>
    <n v="2197.1999999999998"/>
    <n v="0.2"/>
    <n v="909.28"/>
    <s v="Card"/>
    <n v="3"/>
  </r>
  <r>
    <s v="ORD-1719"/>
    <s v="2025-10-28"/>
    <x v="1"/>
    <s v="CUST-285"/>
    <s v="Allen Ellis"/>
    <x v="2"/>
    <x v="1"/>
    <x v="2"/>
    <x v="6"/>
    <n v="2"/>
    <n v="511.18"/>
    <n v="1022.36"/>
    <n v="0.3"/>
    <n v="308.39999999999998"/>
    <s v="Bank Transfer"/>
    <n v="5"/>
  </r>
  <r>
    <s v="ORD-1720"/>
    <s v="2025-05-13"/>
    <x v="7"/>
    <s v="CUST-272"/>
    <s v="John Green"/>
    <x v="1"/>
    <x v="1"/>
    <x v="2"/>
    <x v="12"/>
    <n v="4"/>
    <n v="238.4"/>
    <n v="953.6"/>
    <n v="0.3"/>
    <n v="104.88"/>
    <s v="Bank Transfer"/>
    <n v="1"/>
  </r>
  <r>
    <s v="ORD-1721"/>
    <s v="2025-12-21"/>
    <x v="4"/>
    <s v="CUST-203"/>
    <s v="Laura Brown"/>
    <x v="0"/>
    <x v="1"/>
    <x v="1"/>
    <x v="3"/>
    <n v="2"/>
    <n v="35.700000000000003"/>
    <n v="71.400000000000006"/>
    <n v="0.3"/>
    <n v="17.95"/>
    <s v="PayPal"/>
    <n v="10"/>
  </r>
  <r>
    <s v="ORD-1722"/>
    <s v="2025-01-08"/>
    <x v="3"/>
    <s v="CUST-148"/>
    <s v="Jessica Delacruz"/>
    <x v="1"/>
    <x v="0"/>
    <x v="0"/>
    <x v="2"/>
    <n v="7"/>
    <n v="969.48"/>
    <n v="6786.36"/>
    <n v="0"/>
    <n v="3392.94"/>
    <s v="Bank Transfer"/>
    <n v="4"/>
  </r>
  <r>
    <s v="ORD-1723"/>
    <s v="2025-11-17"/>
    <x v="6"/>
    <s v="CUST-237"/>
    <s v="Glenn Hall"/>
    <x v="1"/>
    <x v="0"/>
    <x v="1"/>
    <x v="15"/>
    <n v="8"/>
    <n v="785.38"/>
    <n v="6283.04"/>
    <n v="0.3"/>
    <n v="1993.62"/>
    <s v="PayPal"/>
    <n v="8"/>
  </r>
  <r>
    <s v="ORD-1724"/>
    <s v="2025-12-26"/>
    <x v="4"/>
    <s v="CUST-213"/>
    <s v="Abigail Le"/>
    <x v="2"/>
    <x v="1"/>
    <x v="1"/>
    <x v="3"/>
    <n v="7"/>
    <n v="45.74"/>
    <n v="320.18"/>
    <n v="0.05"/>
    <n v="57.5"/>
    <s v="Card"/>
    <n v="8"/>
  </r>
  <r>
    <s v="ORD-1725"/>
    <s v="2025-01-05"/>
    <x v="3"/>
    <s v="CUST-126"/>
    <s v="Ian Cervantes"/>
    <x v="0"/>
    <x v="1"/>
    <x v="0"/>
    <x v="10"/>
    <n v="4"/>
    <n v="367.9"/>
    <n v="1471.6"/>
    <n v="0.15"/>
    <n v="662.49"/>
    <s v="PayPal"/>
    <n v="8"/>
  </r>
  <r>
    <s v="ORD-1726"/>
    <s v="2025-07-24"/>
    <x v="10"/>
    <s v="CUST-224"/>
    <s v="Bethany Erickson"/>
    <x v="0"/>
    <x v="1"/>
    <x v="0"/>
    <x v="5"/>
    <n v="10"/>
    <n v="882.67"/>
    <n v="8826.7000000000007"/>
    <n v="0.1"/>
    <n v="4251.59"/>
    <s v="Card"/>
    <n v="1"/>
  </r>
  <r>
    <s v="ORD-1727"/>
    <s v="2025-11-28"/>
    <x v="6"/>
    <s v="CUST-206"/>
    <s v="Mr. John Washington"/>
    <x v="2"/>
    <x v="0"/>
    <x v="0"/>
    <x v="0"/>
    <n v="7"/>
    <n v="700.16"/>
    <n v="4901.12"/>
    <n v="0.2"/>
    <n v="2056.89"/>
    <s v="PayPal"/>
    <n v="10"/>
  </r>
  <r>
    <s v="ORD-1728"/>
    <s v="2025-04-09"/>
    <x v="9"/>
    <s v="CUST-220"/>
    <s v="Kyle Ritter"/>
    <x v="2"/>
    <x v="1"/>
    <x v="0"/>
    <x v="2"/>
    <n v="8"/>
    <n v="843.07"/>
    <n v="6744.56"/>
    <n v="0"/>
    <n v="3274.26"/>
    <s v="Card"/>
    <n v="9"/>
  </r>
  <r>
    <s v="ORD-1729"/>
    <s v="2025-03-09"/>
    <x v="5"/>
    <s v="CUST-175"/>
    <s v="Michelle Cunningham"/>
    <x v="0"/>
    <x v="1"/>
    <x v="1"/>
    <x v="9"/>
    <n v="6"/>
    <n v="1107.6500000000001"/>
    <n v="6645.9"/>
    <n v="0.3"/>
    <n v="1336.17"/>
    <s v="PayPal"/>
    <n v="6"/>
  </r>
  <r>
    <s v="ORD-1730"/>
    <s v="2025-12-08"/>
    <x v="4"/>
    <s v="CUST-223"/>
    <s v="Maria Stephens"/>
    <x v="1"/>
    <x v="2"/>
    <x v="2"/>
    <x v="12"/>
    <n v="10"/>
    <n v="264.51"/>
    <n v="2645.1"/>
    <n v="0.3"/>
    <n v="463.44"/>
    <s v="Card"/>
    <n v="3"/>
  </r>
  <r>
    <s v="ORD-1731"/>
    <s v="2025-04-18"/>
    <x v="9"/>
    <s v="CUST-242"/>
    <s v="Amy Adams"/>
    <x v="1"/>
    <x v="0"/>
    <x v="0"/>
    <x v="7"/>
    <n v="2"/>
    <n v="956.31"/>
    <n v="1912.62"/>
    <n v="0.15"/>
    <n v="696.69"/>
    <s v="PayPal"/>
    <n v="5"/>
  </r>
  <r>
    <s v="ORD-1732"/>
    <s v="2025-02-02"/>
    <x v="0"/>
    <s v="CUST-186"/>
    <s v="Kimberly Crawford"/>
    <x v="2"/>
    <x v="0"/>
    <x v="2"/>
    <x v="12"/>
    <n v="3"/>
    <n v="996.98"/>
    <n v="2990.94"/>
    <n v="0.2"/>
    <n v="1285.42"/>
    <s v="Bank Transfer"/>
    <n v="4"/>
  </r>
  <r>
    <s v="ORD-1733"/>
    <s v="2025-01-24"/>
    <x v="3"/>
    <s v="CUST-297"/>
    <s v="Justin Wells"/>
    <x v="0"/>
    <x v="3"/>
    <x v="1"/>
    <x v="9"/>
    <n v="4"/>
    <n v="593.91"/>
    <n v="2375.64"/>
    <n v="0.1"/>
    <n v="504.68"/>
    <s v="Card"/>
    <n v="9"/>
  </r>
  <r>
    <s v="ORD-1734"/>
    <s v="2025-02-26"/>
    <x v="0"/>
    <s v="CUST-127"/>
    <s v="James Navarro"/>
    <x v="0"/>
    <x v="0"/>
    <x v="0"/>
    <x v="0"/>
    <n v="1"/>
    <n v="1113.43"/>
    <n v="1113.43"/>
    <n v="0.15"/>
    <n v="218.06"/>
    <s v="Bank Transfer"/>
    <n v="1"/>
  </r>
  <r>
    <s v="ORD-1735"/>
    <s v="2025-03-22"/>
    <x v="5"/>
    <s v="CUST-286"/>
    <s v="Amy Golden"/>
    <x v="2"/>
    <x v="1"/>
    <x v="0"/>
    <x v="0"/>
    <n v="3"/>
    <n v="763.31"/>
    <n v="2289.9299999999998"/>
    <n v="0.05"/>
    <n v="403.77"/>
    <s v="Bank Transfer"/>
    <n v="8"/>
  </r>
  <r>
    <s v="ORD-1736"/>
    <s v="2025-03-04"/>
    <x v="5"/>
    <s v="CUST-151"/>
    <s v="Elizabeth Wood"/>
    <x v="2"/>
    <x v="1"/>
    <x v="0"/>
    <x v="0"/>
    <n v="3"/>
    <n v="783.57"/>
    <n v="2350.71"/>
    <n v="0.1"/>
    <n v="470.38"/>
    <s v="Card"/>
    <n v="4"/>
  </r>
  <r>
    <s v="ORD-1737"/>
    <s v="2025-08-01"/>
    <x v="8"/>
    <s v="CUST-192"/>
    <s v="Brooke Clark"/>
    <x v="0"/>
    <x v="2"/>
    <x v="2"/>
    <x v="8"/>
    <n v="5"/>
    <n v="615.92999999999995"/>
    <n v="3079.65"/>
    <n v="0"/>
    <n v="1366.11"/>
    <s v="Card"/>
    <n v="9"/>
  </r>
  <r>
    <s v="ORD-1738"/>
    <s v="2025-08-23"/>
    <x v="8"/>
    <s v="CUST-232"/>
    <s v="James Scott"/>
    <x v="0"/>
    <x v="3"/>
    <x v="2"/>
    <x v="12"/>
    <n v="3"/>
    <n v="966.09"/>
    <n v="2898.27"/>
    <n v="0.15"/>
    <n v="450.31"/>
    <s v="Card"/>
    <n v="8"/>
  </r>
  <r>
    <s v="ORD-1739"/>
    <s v="2025-07-25"/>
    <x v="10"/>
    <s v="CUST-297"/>
    <s v="David Wood"/>
    <x v="1"/>
    <x v="1"/>
    <x v="1"/>
    <x v="1"/>
    <n v="9"/>
    <n v="1133.5"/>
    <n v="10201.5"/>
    <n v="0"/>
    <n v="4230.34"/>
    <s v="Card"/>
    <n v="7"/>
  </r>
  <r>
    <s v="ORD-1740"/>
    <s v="2025-12-05"/>
    <x v="4"/>
    <s v="CUST-233"/>
    <s v="Vanessa Erickson"/>
    <x v="2"/>
    <x v="1"/>
    <x v="1"/>
    <x v="4"/>
    <n v="3"/>
    <n v="1084.96"/>
    <n v="3254.88"/>
    <n v="0"/>
    <n v="517.22"/>
    <s v="PayPal"/>
    <n v="9"/>
  </r>
  <r>
    <s v="ORD-1741"/>
    <s v="2025-11-09"/>
    <x v="6"/>
    <s v="CUST-137"/>
    <s v="Ariel Moore"/>
    <x v="0"/>
    <x v="1"/>
    <x v="2"/>
    <x v="8"/>
    <n v="6"/>
    <n v="29.32"/>
    <n v="175.92"/>
    <n v="0.1"/>
    <n v="30.07"/>
    <s v="PayPal"/>
    <n v="4"/>
  </r>
  <r>
    <s v="ORD-1742"/>
    <s v="2025-11-29"/>
    <x v="6"/>
    <s v="CUST-203"/>
    <s v="Elizabeth Brown"/>
    <x v="1"/>
    <x v="3"/>
    <x v="0"/>
    <x v="5"/>
    <n v="10"/>
    <n v="789.4"/>
    <n v="7894"/>
    <n v="0.3"/>
    <n v="2276.08"/>
    <s v="Card"/>
    <n v="1"/>
  </r>
  <r>
    <s v="ORD-1743"/>
    <s v="2025-09-24"/>
    <x v="11"/>
    <s v="CUST-238"/>
    <s v="Michelle Lutz"/>
    <x v="2"/>
    <x v="2"/>
    <x v="0"/>
    <x v="2"/>
    <n v="7"/>
    <n v="875.62"/>
    <n v="6129.34"/>
    <n v="0.3"/>
    <n v="849.74"/>
    <s v="Card"/>
    <n v="9"/>
  </r>
  <r>
    <s v="ORD-1744"/>
    <s v="2025-01-15"/>
    <x v="3"/>
    <s v="CUST-238"/>
    <s v="Dr. Cory Martin"/>
    <x v="0"/>
    <x v="3"/>
    <x v="0"/>
    <x v="2"/>
    <n v="9"/>
    <n v="422.04"/>
    <n v="3798.36"/>
    <n v="0.3"/>
    <n v="1292.17"/>
    <s v="Card"/>
    <n v="5"/>
  </r>
  <r>
    <s v="ORD-1745"/>
    <s v="2025-05-13"/>
    <x v="7"/>
    <s v="CUST-260"/>
    <s v="Angela Erickson"/>
    <x v="0"/>
    <x v="3"/>
    <x v="0"/>
    <x v="7"/>
    <n v="9"/>
    <n v="150.32"/>
    <n v="1352.88"/>
    <n v="0"/>
    <n v="288.66000000000003"/>
    <s v="Card"/>
    <n v="1"/>
  </r>
  <r>
    <s v="ORD-1746"/>
    <s v="2025-06-23"/>
    <x v="2"/>
    <s v="CUST-160"/>
    <s v="Joann Stafford"/>
    <x v="0"/>
    <x v="2"/>
    <x v="0"/>
    <x v="0"/>
    <n v="8"/>
    <n v="371.59"/>
    <n v="2972.72"/>
    <n v="0.3"/>
    <n v="1140.1600000000001"/>
    <s v="PayPal"/>
    <n v="5"/>
  </r>
  <r>
    <s v="ORD-1747"/>
    <s v="2025-02-23"/>
    <x v="0"/>
    <s v="CUST-183"/>
    <s v="Justin Richards"/>
    <x v="0"/>
    <x v="2"/>
    <x v="2"/>
    <x v="14"/>
    <n v="3"/>
    <n v="862.93"/>
    <n v="2588.79"/>
    <n v="0.2"/>
    <n v="528.1"/>
    <s v="PayPal"/>
    <n v="8"/>
  </r>
  <r>
    <s v="ORD-1748"/>
    <s v="2025-08-06"/>
    <x v="8"/>
    <s v="CUST-133"/>
    <s v="Dustin Ferrell"/>
    <x v="2"/>
    <x v="2"/>
    <x v="1"/>
    <x v="15"/>
    <n v="7"/>
    <n v="997.56"/>
    <n v="6982.92"/>
    <n v="0"/>
    <n v="3582.94"/>
    <s v="PayPal"/>
    <n v="2"/>
  </r>
  <r>
    <s v="ORD-1749"/>
    <s v="2025-05-16"/>
    <x v="7"/>
    <s v="CUST-249"/>
    <s v="Matthew Velez"/>
    <x v="2"/>
    <x v="1"/>
    <x v="2"/>
    <x v="14"/>
    <n v="7"/>
    <n v="714.12"/>
    <n v="4998.84"/>
    <n v="0.2"/>
    <n v="953.66"/>
    <s v="PayPal"/>
    <n v="8"/>
  </r>
  <r>
    <s v="ORD-1750"/>
    <s v="2025-08-23"/>
    <x v="8"/>
    <s v="CUST-133"/>
    <s v="Stephanie Liu"/>
    <x v="0"/>
    <x v="0"/>
    <x v="0"/>
    <x v="7"/>
    <n v="3"/>
    <n v="190.33"/>
    <n v="570.99"/>
    <n v="0.05"/>
    <n v="193.16"/>
    <s v="Bank Transfer"/>
    <n v="4"/>
  </r>
  <r>
    <s v="ORD-1751"/>
    <s v="2025-03-02"/>
    <x v="5"/>
    <s v="CUST-254"/>
    <s v="Christopher Jones"/>
    <x v="2"/>
    <x v="0"/>
    <x v="2"/>
    <x v="13"/>
    <n v="1"/>
    <n v="900.87"/>
    <n v="900.87"/>
    <n v="0.2"/>
    <n v="289.91000000000003"/>
    <s v="Card"/>
    <n v="6"/>
  </r>
  <r>
    <s v="ORD-1752"/>
    <s v="2025-07-11"/>
    <x v="10"/>
    <s v="CUST-177"/>
    <s v="Juan Green"/>
    <x v="2"/>
    <x v="1"/>
    <x v="0"/>
    <x v="2"/>
    <n v="1"/>
    <n v="636.88"/>
    <n v="636.88"/>
    <n v="0"/>
    <n v="255.65"/>
    <s v="Card"/>
    <n v="3"/>
  </r>
  <r>
    <s v="ORD-1753"/>
    <s v="2025-04-21"/>
    <x v="9"/>
    <s v="CUST-146"/>
    <s v="John Nelson"/>
    <x v="0"/>
    <x v="1"/>
    <x v="1"/>
    <x v="9"/>
    <n v="7"/>
    <n v="77.41"/>
    <n v="541.87"/>
    <n v="0.1"/>
    <n v="94.79"/>
    <s v="Card"/>
    <n v="2"/>
  </r>
  <r>
    <s v="ORD-1754"/>
    <s v="2025-06-08"/>
    <x v="2"/>
    <s v="CUST-244"/>
    <s v="Michael Castillo"/>
    <x v="2"/>
    <x v="3"/>
    <x v="0"/>
    <x v="2"/>
    <n v="2"/>
    <n v="1047.0999999999999"/>
    <n v="2094.1999999999998"/>
    <n v="0.15"/>
    <n v="636.42999999999995"/>
    <s v="PayPal"/>
    <n v="8"/>
  </r>
  <r>
    <s v="ORD-1755"/>
    <s v="2025-08-19"/>
    <x v="8"/>
    <s v="CUST-270"/>
    <s v="Jamie Wells"/>
    <x v="2"/>
    <x v="2"/>
    <x v="0"/>
    <x v="5"/>
    <n v="3"/>
    <n v="919.1"/>
    <n v="2757.3"/>
    <n v="0.2"/>
    <n v="651.64"/>
    <s v="Bank Transfer"/>
    <n v="6"/>
  </r>
  <r>
    <s v="ORD-1756"/>
    <s v="2025-06-23"/>
    <x v="2"/>
    <s v="CUST-238"/>
    <s v="Jose Herrera"/>
    <x v="1"/>
    <x v="1"/>
    <x v="1"/>
    <x v="9"/>
    <n v="10"/>
    <n v="503.36"/>
    <n v="5033.6000000000004"/>
    <n v="0.05"/>
    <n v="908.1"/>
    <s v="Bank Transfer"/>
    <n v="5"/>
  </r>
  <r>
    <s v="ORD-1757"/>
    <s v="2025-12-29"/>
    <x v="4"/>
    <s v="CUST-179"/>
    <s v="Brianna Madden"/>
    <x v="0"/>
    <x v="0"/>
    <x v="0"/>
    <x v="0"/>
    <n v="3"/>
    <n v="854.51"/>
    <n v="2563.5300000000002"/>
    <n v="0.2"/>
    <n v="611.05999999999995"/>
    <s v="Bank Transfer"/>
    <n v="9"/>
  </r>
  <r>
    <s v="ORD-1758"/>
    <s v="2025-09-25"/>
    <x v="11"/>
    <s v="CUST-148"/>
    <s v="David Beck"/>
    <x v="2"/>
    <x v="0"/>
    <x v="1"/>
    <x v="15"/>
    <n v="10"/>
    <n v="659.36"/>
    <n v="6593.6"/>
    <n v="0"/>
    <n v="1101.68"/>
    <s v="Card"/>
    <n v="9"/>
  </r>
  <r>
    <s v="ORD-1759"/>
    <s v="2025-10-24"/>
    <x v="1"/>
    <s v="CUST-213"/>
    <s v="Shelly Brown"/>
    <x v="1"/>
    <x v="3"/>
    <x v="1"/>
    <x v="1"/>
    <n v="5"/>
    <n v="948.37"/>
    <n v="4741.8500000000004"/>
    <n v="0.05"/>
    <n v="982.59"/>
    <s v="PayPal"/>
    <n v="10"/>
  </r>
  <r>
    <s v="ORD-1760"/>
    <s v="2025-09-28"/>
    <x v="11"/>
    <s v="CUST-181"/>
    <s v="Hannah Baldwin"/>
    <x v="2"/>
    <x v="3"/>
    <x v="1"/>
    <x v="3"/>
    <n v="1"/>
    <n v="421.15"/>
    <n v="421.15"/>
    <n v="0.05"/>
    <n v="153.65"/>
    <s v="Card"/>
    <n v="2"/>
  </r>
  <r>
    <s v="ORD-1761"/>
    <s v="2025-02-15"/>
    <x v="0"/>
    <s v="CUST-139"/>
    <s v="Kristina Mcgee"/>
    <x v="2"/>
    <x v="1"/>
    <x v="1"/>
    <x v="9"/>
    <n v="3"/>
    <n v="356.72"/>
    <n v="1070.1600000000001"/>
    <n v="0.05"/>
    <n v="455.23"/>
    <s v="Bank Transfer"/>
    <n v="3"/>
  </r>
  <r>
    <s v="ORD-1762"/>
    <s v="2025-07-19"/>
    <x v="10"/>
    <s v="CUST-125"/>
    <s v="Catherine Rivera"/>
    <x v="2"/>
    <x v="2"/>
    <x v="1"/>
    <x v="9"/>
    <n v="6"/>
    <n v="234.12"/>
    <n v="1404.72"/>
    <n v="0.3"/>
    <n v="517.80999999999995"/>
    <s v="PayPal"/>
    <n v="6"/>
  </r>
  <r>
    <s v="ORD-1763"/>
    <s v="2025-10-28"/>
    <x v="1"/>
    <s v="CUST-160"/>
    <s v="Jeremy Nguyen"/>
    <x v="2"/>
    <x v="1"/>
    <x v="2"/>
    <x v="13"/>
    <n v="2"/>
    <n v="81.22"/>
    <n v="162.44"/>
    <n v="0.05"/>
    <n v="38.450000000000003"/>
    <s v="Card"/>
    <n v="5"/>
  </r>
  <r>
    <s v="ORD-1764"/>
    <s v="2025-07-28"/>
    <x v="10"/>
    <s v="CUST-262"/>
    <s v="Brian Medina"/>
    <x v="1"/>
    <x v="0"/>
    <x v="1"/>
    <x v="11"/>
    <n v="8"/>
    <n v="672.68"/>
    <n v="5381.44"/>
    <n v="0"/>
    <n v="1917.58"/>
    <s v="PayPal"/>
    <n v="9"/>
  </r>
  <r>
    <s v="ORD-1765"/>
    <s v="2025-06-05"/>
    <x v="2"/>
    <s v="CUST-245"/>
    <s v="Carrie Lang"/>
    <x v="2"/>
    <x v="1"/>
    <x v="0"/>
    <x v="0"/>
    <n v="4"/>
    <n v="920.31"/>
    <n v="3681.24"/>
    <n v="0.3"/>
    <n v="607.91999999999996"/>
    <s v="Card"/>
    <n v="9"/>
  </r>
  <r>
    <s v="ORD-1766"/>
    <s v="2025-10-03"/>
    <x v="1"/>
    <s v="CUST-208"/>
    <s v="Jessica Henson"/>
    <x v="0"/>
    <x v="1"/>
    <x v="1"/>
    <x v="15"/>
    <n v="6"/>
    <n v="657.72"/>
    <n v="3946.32"/>
    <n v="0.05"/>
    <n v="889.23"/>
    <s v="Card"/>
    <n v="1"/>
  </r>
  <r>
    <s v="ORD-1767"/>
    <s v="2025-09-04"/>
    <x v="11"/>
    <s v="CUST-169"/>
    <s v="Samantha Adams"/>
    <x v="0"/>
    <x v="3"/>
    <x v="2"/>
    <x v="14"/>
    <n v="5"/>
    <n v="790.61"/>
    <n v="3953.05"/>
    <n v="0.05"/>
    <n v="2064.65"/>
    <s v="Bank Transfer"/>
    <n v="7"/>
  </r>
  <r>
    <s v="ORD-1768"/>
    <s v="2025-10-01"/>
    <x v="1"/>
    <s v="CUST-244"/>
    <s v="Donald Keith"/>
    <x v="1"/>
    <x v="3"/>
    <x v="2"/>
    <x v="12"/>
    <n v="10"/>
    <n v="1012.01"/>
    <n v="10120.1"/>
    <n v="0.1"/>
    <n v="4843.74"/>
    <s v="Card"/>
    <n v="7"/>
  </r>
  <r>
    <s v="ORD-1769"/>
    <s v="2025-04-18"/>
    <x v="9"/>
    <s v="CUST-256"/>
    <s v="Colleen Garcia"/>
    <x v="0"/>
    <x v="3"/>
    <x v="0"/>
    <x v="0"/>
    <n v="3"/>
    <n v="875.59"/>
    <n v="2626.77"/>
    <n v="0.1"/>
    <n v="469.72"/>
    <s v="Bank Transfer"/>
    <n v="6"/>
  </r>
  <r>
    <s v="ORD-1770"/>
    <s v="2025-06-24"/>
    <x v="2"/>
    <s v="CUST-153"/>
    <s v="Mr. Anthony Nelson"/>
    <x v="2"/>
    <x v="3"/>
    <x v="0"/>
    <x v="2"/>
    <n v="8"/>
    <n v="342.16"/>
    <n v="2737.28"/>
    <n v="0.3"/>
    <n v="300.43"/>
    <s v="Card"/>
    <n v="3"/>
  </r>
  <r>
    <s v="ORD-1771"/>
    <s v="2025-07-31"/>
    <x v="10"/>
    <s v="CUST-242"/>
    <s v="Cody Smith"/>
    <x v="0"/>
    <x v="1"/>
    <x v="0"/>
    <x v="0"/>
    <n v="10"/>
    <n v="582.29999999999995"/>
    <n v="5823"/>
    <n v="0"/>
    <n v="1635.78"/>
    <s v="PayPal"/>
    <n v="9"/>
  </r>
  <r>
    <s v="ORD-1772"/>
    <s v="2025-03-05"/>
    <x v="5"/>
    <s v="CUST-190"/>
    <s v="Jason Estrada"/>
    <x v="2"/>
    <x v="3"/>
    <x v="1"/>
    <x v="4"/>
    <n v="2"/>
    <n v="655.61"/>
    <n v="1311.22"/>
    <n v="0.3"/>
    <n v="341.38"/>
    <s v="PayPal"/>
    <n v="3"/>
  </r>
  <r>
    <s v="ORD-1773"/>
    <s v="2025-04-24"/>
    <x v="9"/>
    <s v="CUST-290"/>
    <s v="Paul Byrd"/>
    <x v="1"/>
    <x v="3"/>
    <x v="0"/>
    <x v="0"/>
    <n v="2"/>
    <n v="565.98"/>
    <n v="1131.96"/>
    <n v="0.05"/>
    <n v="400.22"/>
    <s v="Bank Transfer"/>
    <n v="6"/>
  </r>
  <r>
    <s v="ORD-1774"/>
    <s v="2025-09-10"/>
    <x v="11"/>
    <s v="CUST-192"/>
    <s v="Emily Horton"/>
    <x v="1"/>
    <x v="3"/>
    <x v="1"/>
    <x v="1"/>
    <n v="10"/>
    <n v="757.78"/>
    <n v="7577.8"/>
    <n v="0.3"/>
    <n v="2448.23"/>
    <s v="PayPal"/>
    <n v="10"/>
  </r>
  <r>
    <s v="ORD-1775"/>
    <s v="2025-05-23"/>
    <x v="7"/>
    <s v="CUST-245"/>
    <s v="Mike Herrera"/>
    <x v="0"/>
    <x v="1"/>
    <x v="1"/>
    <x v="1"/>
    <n v="4"/>
    <n v="1181.43"/>
    <n v="4725.72"/>
    <n v="0.3"/>
    <n v="1295.3"/>
    <s v="Card"/>
    <n v="9"/>
  </r>
  <r>
    <s v="ORD-1776"/>
    <s v="2025-02-03"/>
    <x v="0"/>
    <s v="CUST-250"/>
    <s v="Henry Brown"/>
    <x v="1"/>
    <x v="0"/>
    <x v="1"/>
    <x v="4"/>
    <n v="10"/>
    <n v="813.17"/>
    <n v="8131.7"/>
    <n v="0.2"/>
    <n v="2107.37"/>
    <s v="Card"/>
    <n v="5"/>
  </r>
  <r>
    <s v="ORD-1777"/>
    <s v="2025-12-14"/>
    <x v="4"/>
    <s v="CUST-105"/>
    <s v="Deborah White"/>
    <x v="0"/>
    <x v="3"/>
    <x v="0"/>
    <x v="10"/>
    <n v="9"/>
    <n v="880.1"/>
    <n v="7920.9"/>
    <n v="0.1"/>
    <n v="3373.78"/>
    <s v="Bank Transfer"/>
    <n v="9"/>
  </r>
  <r>
    <s v="ORD-1778"/>
    <s v="2025-06-15"/>
    <x v="2"/>
    <s v="CUST-210"/>
    <s v="Brent Chung"/>
    <x v="2"/>
    <x v="3"/>
    <x v="2"/>
    <x v="6"/>
    <n v="7"/>
    <n v="776.34"/>
    <n v="5434.38"/>
    <n v="0.3"/>
    <n v="2013.32"/>
    <s v="Card"/>
    <n v="9"/>
  </r>
  <r>
    <s v="ORD-1779"/>
    <s v="2025-04-25"/>
    <x v="9"/>
    <s v="CUST-112"/>
    <s v="Jackie Sharp"/>
    <x v="2"/>
    <x v="1"/>
    <x v="2"/>
    <x v="13"/>
    <n v="6"/>
    <n v="630.36"/>
    <n v="3782.16"/>
    <n v="0"/>
    <n v="743.12"/>
    <s v="Bank Transfer"/>
    <n v="8"/>
  </r>
  <r>
    <s v="ORD-1780"/>
    <s v="2025-01-13"/>
    <x v="3"/>
    <s v="CUST-288"/>
    <s v="Teresa Marquez"/>
    <x v="1"/>
    <x v="1"/>
    <x v="2"/>
    <x v="6"/>
    <n v="7"/>
    <n v="249.64"/>
    <n v="1747.48"/>
    <n v="0"/>
    <n v="345.93"/>
    <s v="Card"/>
    <n v="4"/>
  </r>
  <r>
    <s v="ORD-1781"/>
    <s v="2025-01-15"/>
    <x v="3"/>
    <s v="CUST-222"/>
    <s v="James Hall"/>
    <x v="2"/>
    <x v="0"/>
    <x v="1"/>
    <x v="15"/>
    <n v="6"/>
    <n v="386.75"/>
    <n v="2320.5"/>
    <n v="0.3"/>
    <n v="487.11"/>
    <s v="Bank Transfer"/>
    <n v="6"/>
  </r>
  <r>
    <s v="ORD-1782"/>
    <s v="2025-06-20"/>
    <x v="2"/>
    <s v="CUST-233"/>
    <s v="Dalton Williams"/>
    <x v="1"/>
    <x v="0"/>
    <x v="2"/>
    <x v="12"/>
    <n v="2"/>
    <n v="578.82000000000005"/>
    <n v="1157.6400000000001"/>
    <n v="0.1"/>
    <n v="226.08"/>
    <s v="Bank Transfer"/>
    <n v="10"/>
  </r>
  <r>
    <s v="ORD-1783"/>
    <s v="2025-01-18"/>
    <x v="3"/>
    <s v="CUST-196"/>
    <s v="Nicholas Jackson"/>
    <x v="2"/>
    <x v="0"/>
    <x v="2"/>
    <x v="6"/>
    <n v="8"/>
    <n v="703.14"/>
    <n v="5625.12"/>
    <n v="0"/>
    <n v="901.09"/>
    <s v="Card"/>
    <n v="1"/>
  </r>
  <r>
    <s v="ORD-1784"/>
    <s v="2025-12-13"/>
    <x v="4"/>
    <s v="CUST-114"/>
    <s v="Michael Davidson"/>
    <x v="0"/>
    <x v="0"/>
    <x v="2"/>
    <x v="6"/>
    <n v="5"/>
    <n v="740.67"/>
    <n v="3703.35"/>
    <n v="0.15"/>
    <n v="1648.48"/>
    <s v="PayPal"/>
    <n v="7"/>
  </r>
  <r>
    <s v="ORD-1785"/>
    <s v="2025-12-04"/>
    <x v="4"/>
    <s v="CUST-259"/>
    <s v="Denise Anderson"/>
    <x v="1"/>
    <x v="1"/>
    <x v="2"/>
    <x v="6"/>
    <n v="10"/>
    <n v="907.32"/>
    <n v="9073.2000000000007"/>
    <n v="0.05"/>
    <n v="1759.82"/>
    <s v="PayPal"/>
    <n v="8"/>
  </r>
  <r>
    <s v="ORD-1786"/>
    <s v="2025-01-14"/>
    <x v="3"/>
    <s v="CUST-216"/>
    <s v="Robert Davis"/>
    <x v="0"/>
    <x v="3"/>
    <x v="2"/>
    <x v="14"/>
    <n v="10"/>
    <n v="139.51"/>
    <n v="1395.1"/>
    <n v="0.3"/>
    <n v="170.87"/>
    <s v="Bank Transfer"/>
    <n v="4"/>
  </r>
  <r>
    <s v="ORD-1787"/>
    <s v="2025-04-10"/>
    <x v="9"/>
    <s v="CUST-246"/>
    <s v="William Parker"/>
    <x v="1"/>
    <x v="3"/>
    <x v="1"/>
    <x v="1"/>
    <n v="1"/>
    <n v="722.31"/>
    <n v="722.31"/>
    <n v="0"/>
    <n v="225.97"/>
    <s v="PayPal"/>
    <n v="7"/>
  </r>
  <r>
    <s v="ORD-1788"/>
    <s v="2025-01-31"/>
    <x v="3"/>
    <s v="CUST-132"/>
    <s v="Richard Taylor"/>
    <x v="2"/>
    <x v="1"/>
    <x v="2"/>
    <x v="14"/>
    <n v="8"/>
    <n v="239.39"/>
    <n v="1915.12"/>
    <n v="0.05"/>
    <n v="420.62"/>
    <s v="Bank Transfer"/>
    <n v="6"/>
  </r>
  <r>
    <s v="ORD-1789"/>
    <s v="2025-11-05"/>
    <x v="6"/>
    <s v="CUST-187"/>
    <s v="Brittany Smith"/>
    <x v="2"/>
    <x v="3"/>
    <x v="2"/>
    <x v="14"/>
    <n v="9"/>
    <n v="935.08"/>
    <n v="8415.7199999999993"/>
    <n v="0.05"/>
    <n v="2895.69"/>
    <s v="Card"/>
    <n v="9"/>
  </r>
  <r>
    <s v="ORD-1790"/>
    <s v="2025-08-05"/>
    <x v="8"/>
    <s v="CUST-188"/>
    <s v="Robert Mclean"/>
    <x v="1"/>
    <x v="2"/>
    <x v="0"/>
    <x v="10"/>
    <n v="1"/>
    <n v="300.12"/>
    <n v="300.12"/>
    <n v="0.2"/>
    <n v="49.58"/>
    <s v="Bank Transfer"/>
    <n v="4"/>
  </r>
  <r>
    <s v="ORD-1791"/>
    <s v="2025-08-28"/>
    <x v="8"/>
    <s v="CUST-253"/>
    <s v="Melissa Jones"/>
    <x v="0"/>
    <x v="3"/>
    <x v="1"/>
    <x v="11"/>
    <n v="4"/>
    <n v="808.07"/>
    <n v="3232.28"/>
    <n v="0.3"/>
    <n v="618.29"/>
    <s v="Bank Transfer"/>
    <n v="10"/>
  </r>
  <r>
    <s v="ORD-1792"/>
    <s v="2025-01-22"/>
    <x v="3"/>
    <s v="CUST-226"/>
    <s v="Angela Williams"/>
    <x v="1"/>
    <x v="0"/>
    <x v="2"/>
    <x v="14"/>
    <n v="5"/>
    <n v="514.05999999999995"/>
    <n v="2570.3000000000002"/>
    <n v="0.05"/>
    <n v="1240.58"/>
    <s v="Bank Transfer"/>
    <n v="4"/>
  </r>
  <r>
    <s v="ORD-1793"/>
    <s v="2025-06-19"/>
    <x v="2"/>
    <s v="CUST-289"/>
    <s v="Laura Calhoun"/>
    <x v="2"/>
    <x v="2"/>
    <x v="0"/>
    <x v="10"/>
    <n v="8"/>
    <n v="756.23"/>
    <n v="6049.84"/>
    <n v="0.05"/>
    <n v="2055.84"/>
    <s v="PayPal"/>
    <n v="3"/>
  </r>
  <r>
    <s v="ORD-1794"/>
    <s v="2025-03-14"/>
    <x v="5"/>
    <s v="CUST-174"/>
    <s v="Laura Owens"/>
    <x v="2"/>
    <x v="2"/>
    <x v="1"/>
    <x v="11"/>
    <n v="1"/>
    <n v="107"/>
    <n v="107"/>
    <n v="0"/>
    <n v="35.11"/>
    <s v="Bank Transfer"/>
    <n v="10"/>
  </r>
  <r>
    <s v="ORD-1795"/>
    <s v="2025-05-15"/>
    <x v="7"/>
    <s v="CUST-284"/>
    <s v="Christopher Wilkinson"/>
    <x v="1"/>
    <x v="3"/>
    <x v="2"/>
    <x v="6"/>
    <n v="1"/>
    <n v="254.96"/>
    <n v="254.96"/>
    <n v="0.1"/>
    <n v="110.22"/>
    <s v="Bank Transfer"/>
    <n v="4"/>
  </r>
  <r>
    <s v="ORD-1796"/>
    <s v="2025-01-11"/>
    <x v="3"/>
    <s v="CUST-273"/>
    <s v="Thomas Carlson"/>
    <x v="1"/>
    <x v="1"/>
    <x v="1"/>
    <x v="15"/>
    <n v="1"/>
    <n v="227.77"/>
    <n v="227.77"/>
    <n v="0.1"/>
    <n v="38.08"/>
    <s v="Bank Transfer"/>
    <n v="2"/>
  </r>
  <r>
    <s v="ORD-1797"/>
    <s v="2025-12-05"/>
    <x v="4"/>
    <s v="CUST-143"/>
    <s v="Donald Hardy"/>
    <x v="0"/>
    <x v="1"/>
    <x v="2"/>
    <x v="12"/>
    <n v="5"/>
    <n v="558.32000000000005"/>
    <n v="2791.6"/>
    <n v="0.1"/>
    <n v="568.33000000000004"/>
    <s v="Bank Transfer"/>
    <n v="2"/>
  </r>
  <r>
    <s v="ORD-1798"/>
    <s v="2025-12-22"/>
    <x v="4"/>
    <s v="CUST-195"/>
    <s v="Shannon Hill"/>
    <x v="2"/>
    <x v="1"/>
    <x v="1"/>
    <x v="15"/>
    <n v="3"/>
    <n v="957.98"/>
    <n v="2873.94"/>
    <n v="0.05"/>
    <n v="920.03"/>
    <s v="Bank Transfer"/>
    <n v="4"/>
  </r>
  <r>
    <s v="ORD-1799"/>
    <s v="2025-03-18"/>
    <x v="5"/>
    <s v="CUST-183"/>
    <s v="Grant Miller"/>
    <x v="1"/>
    <x v="0"/>
    <x v="1"/>
    <x v="9"/>
    <n v="10"/>
    <n v="243.14"/>
    <n v="2431.4"/>
    <n v="0.2"/>
    <n v="840.93"/>
    <s v="Bank Transfer"/>
    <n v="5"/>
  </r>
  <r>
    <s v="ORD-1800"/>
    <s v="2025-08-29"/>
    <x v="8"/>
    <s v="CUST-269"/>
    <s v="Samantha Cruz"/>
    <x v="0"/>
    <x v="0"/>
    <x v="1"/>
    <x v="9"/>
    <n v="10"/>
    <n v="1065.28"/>
    <n v="10652.8"/>
    <n v="0.05"/>
    <n v="2621.94"/>
    <s v="Card"/>
    <n v="9"/>
  </r>
  <r>
    <s v="ORD-1801"/>
    <s v="2025-12-31"/>
    <x v="4"/>
    <s v="CUST-195"/>
    <s v="Janet Brock"/>
    <x v="0"/>
    <x v="1"/>
    <x v="2"/>
    <x v="14"/>
    <n v="6"/>
    <n v="608.33000000000004"/>
    <n v="3649.98"/>
    <n v="0.15"/>
    <n v="1484.23"/>
    <s v="Bank Transfer"/>
    <n v="8"/>
  </r>
  <r>
    <s v="ORD-1802"/>
    <s v="2025-04-17"/>
    <x v="9"/>
    <s v="CUST-156"/>
    <s v="Reginald Wilson"/>
    <x v="1"/>
    <x v="1"/>
    <x v="2"/>
    <x v="8"/>
    <n v="10"/>
    <n v="493.12"/>
    <n v="4931.2"/>
    <n v="0.2"/>
    <n v="1144.45"/>
    <s v="Card"/>
    <n v="7"/>
  </r>
  <r>
    <s v="ORD-1803"/>
    <s v="2025-07-11"/>
    <x v="10"/>
    <s v="CUST-165"/>
    <s v="Jon Jones"/>
    <x v="0"/>
    <x v="0"/>
    <x v="1"/>
    <x v="11"/>
    <n v="7"/>
    <n v="1068.68"/>
    <n v="7480.76"/>
    <n v="0.2"/>
    <n v="2915.2"/>
    <s v="Card"/>
    <n v="2"/>
  </r>
  <r>
    <s v="ORD-1804"/>
    <s v="2025-09-20"/>
    <x v="11"/>
    <s v="CUST-259"/>
    <s v="Michael Russell"/>
    <x v="2"/>
    <x v="1"/>
    <x v="2"/>
    <x v="13"/>
    <n v="9"/>
    <n v="434.86"/>
    <n v="3913.74"/>
    <n v="0.2"/>
    <n v="1670.52"/>
    <s v="PayPal"/>
    <n v="8"/>
  </r>
  <r>
    <s v="ORD-1805"/>
    <s v="2025-01-13"/>
    <x v="3"/>
    <s v="CUST-145"/>
    <s v="Jaime Galvan"/>
    <x v="2"/>
    <x v="2"/>
    <x v="2"/>
    <x v="13"/>
    <n v="6"/>
    <n v="969.32"/>
    <n v="5815.92"/>
    <n v="0.1"/>
    <n v="2307.25"/>
    <s v="PayPal"/>
    <n v="2"/>
  </r>
  <r>
    <s v="ORD-1806"/>
    <s v="2025-02-10"/>
    <x v="0"/>
    <s v="CUST-170"/>
    <s v="Thomas Fuentes"/>
    <x v="1"/>
    <x v="0"/>
    <x v="2"/>
    <x v="6"/>
    <n v="5"/>
    <n v="1014.27"/>
    <n v="5071.3500000000004"/>
    <n v="0.2"/>
    <n v="1344.27"/>
    <s v="Card"/>
    <n v="2"/>
  </r>
  <r>
    <s v="ORD-1807"/>
    <s v="2025-05-09"/>
    <x v="7"/>
    <s v="CUST-177"/>
    <s v="Kevin Buckley"/>
    <x v="0"/>
    <x v="3"/>
    <x v="2"/>
    <x v="6"/>
    <n v="9"/>
    <n v="256.36"/>
    <n v="2307.2399999999998"/>
    <n v="0.05"/>
    <n v="613.63"/>
    <s v="Card"/>
    <n v="10"/>
  </r>
  <r>
    <s v="ORD-1808"/>
    <s v="2025-05-25"/>
    <x v="7"/>
    <s v="CUST-188"/>
    <s v="Pamela Li"/>
    <x v="2"/>
    <x v="1"/>
    <x v="1"/>
    <x v="4"/>
    <n v="9"/>
    <n v="1096.6099999999999"/>
    <n v="9869.49"/>
    <n v="0"/>
    <n v="2388.12"/>
    <s v="Bank Transfer"/>
    <n v="1"/>
  </r>
  <r>
    <s v="ORD-1809"/>
    <s v="2025-04-18"/>
    <x v="9"/>
    <s v="CUST-221"/>
    <s v="Lisa Ramsey"/>
    <x v="1"/>
    <x v="1"/>
    <x v="2"/>
    <x v="14"/>
    <n v="3"/>
    <n v="1041.25"/>
    <n v="3123.75"/>
    <n v="0.05"/>
    <n v="1362.79"/>
    <s v="Bank Transfer"/>
    <n v="8"/>
  </r>
  <r>
    <s v="ORD-1810"/>
    <s v="2025-12-24"/>
    <x v="4"/>
    <s v="CUST-206"/>
    <s v="Kyle Peterson"/>
    <x v="1"/>
    <x v="1"/>
    <x v="2"/>
    <x v="6"/>
    <n v="6"/>
    <n v="1018.05"/>
    <n v="6108.3"/>
    <n v="0.15"/>
    <n v="1256.21"/>
    <s v="PayPal"/>
    <n v="9"/>
  </r>
  <r>
    <s v="ORD-1811"/>
    <s v="2025-01-05"/>
    <x v="3"/>
    <s v="CUST-227"/>
    <s v="Jamie Short"/>
    <x v="0"/>
    <x v="3"/>
    <x v="1"/>
    <x v="11"/>
    <n v="3"/>
    <n v="701.46"/>
    <n v="2104.38"/>
    <n v="0.05"/>
    <n v="855.18"/>
    <s v="PayPal"/>
    <n v="4"/>
  </r>
  <r>
    <s v="ORD-1812"/>
    <s v="2025-06-16"/>
    <x v="2"/>
    <s v="CUST-250"/>
    <s v="Joseph Curtis"/>
    <x v="1"/>
    <x v="0"/>
    <x v="2"/>
    <x v="13"/>
    <n v="7"/>
    <n v="920.15"/>
    <n v="6441.05"/>
    <n v="0.3"/>
    <n v="1510.24"/>
    <s v="Card"/>
    <n v="3"/>
  </r>
  <r>
    <s v="ORD-1813"/>
    <s v="2025-07-15"/>
    <x v="10"/>
    <s v="CUST-152"/>
    <s v="Lauren Daugherty"/>
    <x v="2"/>
    <x v="0"/>
    <x v="2"/>
    <x v="14"/>
    <n v="10"/>
    <n v="1098.23"/>
    <n v="10982.3"/>
    <n v="0.2"/>
    <n v="1785.48"/>
    <s v="Bank Transfer"/>
    <n v="7"/>
  </r>
  <r>
    <s v="ORD-1814"/>
    <s v="2025-06-05"/>
    <x v="2"/>
    <s v="CUST-123"/>
    <s v="Erika Thompson"/>
    <x v="1"/>
    <x v="0"/>
    <x v="1"/>
    <x v="3"/>
    <n v="2"/>
    <n v="408.03"/>
    <n v="816.06"/>
    <n v="0.15"/>
    <n v="204.21"/>
    <s v="Bank Transfer"/>
    <n v="9"/>
  </r>
  <r>
    <s v="ORD-1815"/>
    <s v="2025-07-17"/>
    <x v="10"/>
    <s v="CUST-172"/>
    <s v="Daniel Jenkins"/>
    <x v="1"/>
    <x v="2"/>
    <x v="1"/>
    <x v="1"/>
    <n v="10"/>
    <n v="596.55999999999995"/>
    <n v="5965.6"/>
    <n v="0.05"/>
    <n v="2665.91"/>
    <s v="PayPal"/>
    <n v="9"/>
  </r>
  <r>
    <s v="ORD-1816"/>
    <s v="2025-07-30"/>
    <x v="10"/>
    <s v="CUST-200"/>
    <s v="Larry Washington"/>
    <x v="1"/>
    <x v="0"/>
    <x v="1"/>
    <x v="3"/>
    <n v="1"/>
    <n v="455.01"/>
    <n v="455.01"/>
    <n v="0"/>
    <n v="218.98"/>
    <s v="Card"/>
    <n v="9"/>
  </r>
  <r>
    <s v="ORD-1817"/>
    <s v="2025-04-16"/>
    <x v="9"/>
    <s v="CUST-179"/>
    <s v="Taylor Pruitt"/>
    <x v="2"/>
    <x v="1"/>
    <x v="2"/>
    <x v="13"/>
    <n v="2"/>
    <n v="479.01"/>
    <n v="958.02"/>
    <n v="0.05"/>
    <n v="453.26"/>
    <s v="Card"/>
    <n v="10"/>
  </r>
  <r>
    <s v="ORD-1818"/>
    <s v="2025-05-22"/>
    <x v="7"/>
    <s v="CUST-151"/>
    <s v="Tracey Cruz"/>
    <x v="1"/>
    <x v="2"/>
    <x v="0"/>
    <x v="2"/>
    <n v="10"/>
    <n v="259.51"/>
    <n v="2595.1"/>
    <n v="0.3"/>
    <n v="501.49"/>
    <s v="PayPal"/>
    <n v="2"/>
  </r>
  <r>
    <s v="ORD-1819"/>
    <s v="2025-08-24"/>
    <x v="8"/>
    <s v="CUST-218"/>
    <s v="Elizabeth Kelly"/>
    <x v="0"/>
    <x v="0"/>
    <x v="2"/>
    <x v="14"/>
    <n v="4"/>
    <n v="640.51"/>
    <n v="2562.04"/>
    <n v="0.2"/>
    <n v="406.45"/>
    <s v="Bank Transfer"/>
    <n v="2"/>
  </r>
  <r>
    <s v="ORD-1820"/>
    <s v="2025-07-20"/>
    <x v="10"/>
    <s v="CUST-256"/>
    <s v="Anne Aguirre"/>
    <x v="1"/>
    <x v="1"/>
    <x v="2"/>
    <x v="13"/>
    <n v="6"/>
    <n v="846.37"/>
    <n v="5078.22"/>
    <n v="0.3"/>
    <n v="828.48"/>
    <s v="Card"/>
    <n v="3"/>
  </r>
  <r>
    <s v="ORD-1821"/>
    <s v="2025-10-19"/>
    <x v="1"/>
    <s v="CUST-124"/>
    <s v="Anne Figueroa"/>
    <x v="2"/>
    <x v="0"/>
    <x v="0"/>
    <x v="7"/>
    <n v="8"/>
    <n v="473.9"/>
    <n v="3791.2"/>
    <n v="0.3"/>
    <n v="1264.8800000000001"/>
    <s v="Card"/>
    <n v="3"/>
  </r>
  <r>
    <s v="ORD-1822"/>
    <s v="2025-04-22"/>
    <x v="9"/>
    <s v="CUST-226"/>
    <s v="Joshua Reeves"/>
    <x v="2"/>
    <x v="0"/>
    <x v="2"/>
    <x v="14"/>
    <n v="5"/>
    <n v="806.66"/>
    <n v="4033.3"/>
    <n v="0"/>
    <n v="1092.1500000000001"/>
    <s v="PayPal"/>
    <n v="2"/>
  </r>
  <r>
    <s v="ORD-1823"/>
    <s v="2025-09-17"/>
    <x v="11"/>
    <s v="CUST-111"/>
    <s v="Brenda Carson"/>
    <x v="2"/>
    <x v="0"/>
    <x v="1"/>
    <x v="9"/>
    <n v="6"/>
    <n v="503.91"/>
    <n v="3023.46"/>
    <n v="0.05"/>
    <n v="1289.3499999999999"/>
    <s v="Card"/>
    <n v="8"/>
  </r>
  <r>
    <s v="ORD-1824"/>
    <s v="2025-05-09"/>
    <x v="7"/>
    <s v="CUST-129"/>
    <s v="Gary Lee"/>
    <x v="0"/>
    <x v="2"/>
    <x v="2"/>
    <x v="8"/>
    <n v="7"/>
    <n v="1029.81"/>
    <n v="7208.67"/>
    <n v="0.15"/>
    <n v="3277.47"/>
    <s v="PayPal"/>
    <n v="8"/>
  </r>
  <r>
    <s v="ORD-1825"/>
    <s v="2025-08-13"/>
    <x v="8"/>
    <s v="CUST-135"/>
    <s v="Haley Martin"/>
    <x v="2"/>
    <x v="3"/>
    <x v="2"/>
    <x v="13"/>
    <n v="2"/>
    <n v="117.41"/>
    <n v="234.82"/>
    <n v="0.3"/>
    <n v="74.47"/>
    <s v="Card"/>
    <n v="3"/>
  </r>
  <r>
    <s v="ORD-1826"/>
    <s v="2025-07-20"/>
    <x v="10"/>
    <s v="CUST-143"/>
    <s v="Edward Farrell"/>
    <x v="1"/>
    <x v="0"/>
    <x v="1"/>
    <x v="9"/>
    <n v="2"/>
    <n v="229.14"/>
    <n v="458.28"/>
    <n v="0"/>
    <n v="154.05000000000001"/>
    <s v="Bank Transfer"/>
    <n v="5"/>
  </r>
  <r>
    <s v="ORD-1827"/>
    <s v="2025-12-12"/>
    <x v="4"/>
    <s v="CUST-236"/>
    <s v="Victor Patterson"/>
    <x v="1"/>
    <x v="1"/>
    <x v="1"/>
    <x v="3"/>
    <n v="6"/>
    <n v="229.97"/>
    <n v="1379.82"/>
    <n v="0.3"/>
    <n v="517.91999999999996"/>
    <s v="Bank Transfer"/>
    <n v="1"/>
  </r>
  <r>
    <s v="ORD-1828"/>
    <s v="2025-11-03"/>
    <x v="6"/>
    <s v="CUST-101"/>
    <s v="Kristie Brown"/>
    <x v="1"/>
    <x v="1"/>
    <x v="0"/>
    <x v="5"/>
    <n v="2"/>
    <n v="480.93"/>
    <n v="961.86"/>
    <n v="0.1"/>
    <n v="322.38"/>
    <s v="Card"/>
    <n v="4"/>
  </r>
  <r>
    <s v="ORD-1829"/>
    <s v="2025-01-08"/>
    <x v="3"/>
    <s v="CUST-186"/>
    <s v="Carlos Thompson MD"/>
    <x v="1"/>
    <x v="0"/>
    <x v="2"/>
    <x v="12"/>
    <n v="4"/>
    <n v="127.84"/>
    <n v="511.36"/>
    <n v="0.15"/>
    <n v="234.2"/>
    <s v="Card"/>
    <n v="2"/>
  </r>
  <r>
    <s v="ORD-1830"/>
    <s v="2025-06-17"/>
    <x v="2"/>
    <s v="CUST-182"/>
    <s v="Michael Silva"/>
    <x v="0"/>
    <x v="2"/>
    <x v="0"/>
    <x v="10"/>
    <n v="3"/>
    <n v="71.930000000000007"/>
    <n v="215.79"/>
    <n v="0.2"/>
    <n v="87.51"/>
    <s v="Bank Transfer"/>
    <n v="4"/>
  </r>
  <r>
    <s v="ORD-1831"/>
    <s v="2025-06-15"/>
    <x v="2"/>
    <s v="CUST-144"/>
    <s v="Amber Johnson"/>
    <x v="1"/>
    <x v="1"/>
    <x v="0"/>
    <x v="7"/>
    <n v="7"/>
    <n v="162.55000000000001"/>
    <n v="1137.8499999999999"/>
    <n v="0.05"/>
    <n v="548.74"/>
    <s v="Bank Transfer"/>
    <n v="6"/>
  </r>
  <r>
    <s v="ORD-1832"/>
    <s v="2025-05-23"/>
    <x v="7"/>
    <s v="CUST-266"/>
    <s v="Michael Roberts"/>
    <x v="0"/>
    <x v="3"/>
    <x v="1"/>
    <x v="3"/>
    <n v="4"/>
    <n v="561.36"/>
    <n v="2245.44"/>
    <n v="0"/>
    <n v="644.03"/>
    <s v="Card"/>
    <n v="2"/>
  </r>
  <r>
    <s v="ORD-1833"/>
    <s v="2025-02-22"/>
    <x v="0"/>
    <s v="CUST-282"/>
    <s v="Justin Chung"/>
    <x v="0"/>
    <x v="2"/>
    <x v="1"/>
    <x v="3"/>
    <n v="5"/>
    <n v="925.7"/>
    <n v="4628.5"/>
    <n v="0.15"/>
    <n v="616.73"/>
    <s v="PayPal"/>
    <n v="2"/>
  </r>
  <r>
    <s v="ORD-1834"/>
    <s v="2025-03-31"/>
    <x v="5"/>
    <s v="CUST-262"/>
    <s v="Mrs. Melissa Bell DVM"/>
    <x v="0"/>
    <x v="3"/>
    <x v="0"/>
    <x v="2"/>
    <n v="7"/>
    <n v="819.92"/>
    <n v="5739.44"/>
    <n v="0.3"/>
    <n v="1996.06"/>
    <s v="Bank Transfer"/>
    <n v="8"/>
  </r>
  <r>
    <s v="ORD-1835"/>
    <s v="2025-09-19"/>
    <x v="11"/>
    <s v="CUST-263"/>
    <s v="Dawn Ramirez"/>
    <x v="0"/>
    <x v="2"/>
    <x v="1"/>
    <x v="11"/>
    <n v="1"/>
    <n v="738.07"/>
    <n v="738.07"/>
    <n v="0.2"/>
    <n v="218.73"/>
    <s v="Bank Transfer"/>
    <n v="10"/>
  </r>
  <r>
    <s v="ORD-1836"/>
    <s v="2025-08-08"/>
    <x v="8"/>
    <s v="CUST-293"/>
    <s v="Joshua Petersen"/>
    <x v="1"/>
    <x v="0"/>
    <x v="0"/>
    <x v="0"/>
    <n v="4"/>
    <n v="45.03"/>
    <n v="180.12"/>
    <n v="0"/>
    <n v="76.81"/>
    <s v="Card"/>
    <n v="3"/>
  </r>
  <r>
    <s v="ORD-1837"/>
    <s v="2025-01-20"/>
    <x v="3"/>
    <s v="CUST-160"/>
    <s v="Christina Herman"/>
    <x v="0"/>
    <x v="1"/>
    <x v="2"/>
    <x v="13"/>
    <n v="5"/>
    <n v="258.37"/>
    <n v="1291.8499999999999"/>
    <n v="0.15"/>
    <n v="514.16999999999996"/>
    <s v="Bank Transfer"/>
    <n v="6"/>
  </r>
  <r>
    <s v="ORD-1838"/>
    <s v="2025-08-01"/>
    <x v="8"/>
    <s v="CUST-265"/>
    <s v="Benjamin Wilson"/>
    <x v="2"/>
    <x v="0"/>
    <x v="1"/>
    <x v="11"/>
    <n v="6"/>
    <n v="779.45"/>
    <n v="4676.7"/>
    <n v="0"/>
    <n v="1597.8"/>
    <s v="Card"/>
    <n v="6"/>
  </r>
  <r>
    <s v="ORD-1839"/>
    <s v="2025-12-18"/>
    <x v="4"/>
    <s v="CUST-278"/>
    <s v="Stephanie Hughes"/>
    <x v="0"/>
    <x v="2"/>
    <x v="2"/>
    <x v="12"/>
    <n v="4"/>
    <n v="656.39"/>
    <n v="2625.56"/>
    <n v="0.3"/>
    <n v="284.23"/>
    <s v="Bank Transfer"/>
    <n v="7"/>
  </r>
  <r>
    <s v="ORD-1840"/>
    <s v="2025-09-09"/>
    <x v="11"/>
    <s v="CUST-117"/>
    <s v="Jonathan Davis"/>
    <x v="1"/>
    <x v="0"/>
    <x v="0"/>
    <x v="2"/>
    <n v="3"/>
    <n v="541.99"/>
    <n v="1625.97"/>
    <n v="0"/>
    <n v="852.26"/>
    <s v="Bank Transfer"/>
    <n v="3"/>
  </r>
  <r>
    <s v="ORD-1841"/>
    <s v="2025-04-15"/>
    <x v="9"/>
    <s v="CUST-160"/>
    <s v="Tiffany Orozco"/>
    <x v="0"/>
    <x v="0"/>
    <x v="1"/>
    <x v="15"/>
    <n v="2"/>
    <n v="224.94"/>
    <n v="449.88"/>
    <n v="0.2"/>
    <n v="78.28"/>
    <s v="PayPal"/>
    <n v="8"/>
  </r>
  <r>
    <s v="ORD-1842"/>
    <s v="2025-06-05"/>
    <x v="2"/>
    <s v="CUST-173"/>
    <s v="Curtis Smith"/>
    <x v="0"/>
    <x v="1"/>
    <x v="2"/>
    <x v="12"/>
    <n v="4"/>
    <n v="309.01"/>
    <n v="1236.04"/>
    <n v="0.05"/>
    <n v="361.27"/>
    <s v="Bank Transfer"/>
    <n v="4"/>
  </r>
  <r>
    <s v="ORD-1843"/>
    <s v="2025-03-27"/>
    <x v="5"/>
    <s v="CUST-220"/>
    <s v="Kenneth Lewis"/>
    <x v="2"/>
    <x v="1"/>
    <x v="2"/>
    <x v="13"/>
    <n v="2"/>
    <n v="1142.2"/>
    <n v="2284.4"/>
    <n v="0.1"/>
    <n v="803.27"/>
    <s v="Bank Transfer"/>
    <n v="10"/>
  </r>
  <r>
    <s v="ORD-1844"/>
    <s v="2025-07-15"/>
    <x v="10"/>
    <s v="CUST-209"/>
    <s v="Jessica Gonzalez"/>
    <x v="1"/>
    <x v="3"/>
    <x v="0"/>
    <x v="7"/>
    <n v="3"/>
    <n v="987.13"/>
    <n v="2961.39"/>
    <n v="0.15"/>
    <n v="1364.5"/>
    <s v="Bank Transfer"/>
    <n v="9"/>
  </r>
  <r>
    <s v="ORD-1845"/>
    <s v="2025-05-26"/>
    <x v="7"/>
    <s v="CUST-196"/>
    <s v="Jessica Russell"/>
    <x v="0"/>
    <x v="1"/>
    <x v="1"/>
    <x v="9"/>
    <n v="3"/>
    <n v="323.60000000000002"/>
    <n v="970.8"/>
    <n v="0.15"/>
    <n v="352.9"/>
    <s v="Card"/>
    <n v="6"/>
  </r>
  <r>
    <s v="ORD-1846"/>
    <s v="2025-09-14"/>
    <x v="11"/>
    <s v="CUST-286"/>
    <s v="Jonathan Gardner"/>
    <x v="0"/>
    <x v="3"/>
    <x v="1"/>
    <x v="4"/>
    <n v="8"/>
    <n v="250.94"/>
    <n v="2007.52"/>
    <n v="0.05"/>
    <n v="1045.74"/>
    <s v="PayPal"/>
    <n v="7"/>
  </r>
  <r>
    <s v="ORD-1847"/>
    <s v="2025-10-29"/>
    <x v="1"/>
    <s v="CUST-118"/>
    <s v="David Gonzalez"/>
    <x v="2"/>
    <x v="0"/>
    <x v="2"/>
    <x v="13"/>
    <n v="6"/>
    <n v="473.16"/>
    <n v="2838.96"/>
    <n v="0.1"/>
    <n v="750.12"/>
    <s v="Card"/>
    <n v="7"/>
  </r>
  <r>
    <s v="ORD-1848"/>
    <s v="2025-06-28"/>
    <x v="2"/>
    <s v="CUST-230"/>
    <s v="Sonya Bailey MD"/>
    <x v="0"/>
    <x v="1"/>
    <x v="0"/>
    <x v="10"/>
    <n v="4"/>
    <n v="920.28"/>
    <n v="3681.12"/>
    <n v="0.1"/>
    <n v="800.06"/>
    <s v="Bank Transfer"/>
    <n v="6"/>
  </r>
  <r>
    <s v="ORD-1849"/>
    <s v="2025-09-02"/>
    <x v="11"/>
    <s v="CUST-108"/>
    <s v="Tyler Henderson"/>
    <x v="2"/>
    <x v="0"/>
    <x v="0"/>
    <x v="0"/>
    <n v="7"/>
    <n v="1113.29"/>
    <n v="7793.03"/>
    <n v="0.3"/>
    <n v="2461.8000000000002"/>
    <s v="Bank Transfer"/>
    <n v="3"/>
  </r>
  <r>
    <s v="ORD-1850"/>
    <s v="2025-11-05"/>
    <x v="6"/>
    <s v="CUST-248"/>
    <s v="John Mitchell"/>
    <x v="0"/>
    <x v="2"/>
    <x v="2"/>
    <x v="14"/>
    <n v="8"/>
    <n v="1134.23"/>
    <n v="9073.84"/>
    <n v="0.05"/>
    <n v="3864.28"/>
    <s v="Card"/>
    <n v="2"/>
  </r>
  <r>
    <s v="ORD-1851"/>
    <s v="2025-02-11"/>
    <x v="0"/>
    <s v="CUST-232"/>
    <s v="Derek Leonard"/>
    <x v="1"/>
    <x v="1"/>
    <x v="1"/>
    <x v="4"/>
    <n v="7"/>
    <n v="489.25"/>
    <n v="3424.75"/>
    <n v="0.2"/>
    <n v="439.3"/>
    <s v="Card"/>
    <n v="7"/>
  </r>
  <r>
    <s v="ORD-1852"/>
    <s v="2025-10-28"/>
    <x v="1"/>
    <s v="CUST-178"/>
    <s v="Jacob Santos"/>
    <x v="0"/>
    <x v="1"/>
    <x v="2"/>
    <x v="8"/>
    <n v="9"/>
    <n v="1161.8699999999999"/>
    <n v="10456.83"/>
    <n v="0.3"/>
    <n v="1429.84"/>
    <s v="Bank Transfer"/>
    <n v="2"/>
  </r>
  <r>
    <s v="ORD-1853"/>
    <s v="2025-05-18"/>
    <x v="7"/>
    <s v="CUST-291"/>
    <s v="Robin Bradley"/>
    <x v="1"/>
    <x v="1"/>
    <x v="1"/>
    <x v="4"/>
    <n v="10"/>
    <n v="936.5"/>
    <n v="9365"/>
    <n v="0.1"/>
    <n v="1890.59"/>
    <s v="Bank Transfer"/>
    <n v="5"/>
  </r>
  <r>
    <s v="ORD-1854"/>
    <s v="2025-08-02"/>
    <x v="8"/>
    <s v="CUST-234"/>
    <s v="Veronica Jackson"/>
    <x v="2"/>
    <x v="3"/>
    <x v="1"/>
    <x v="15"/>
    <n v="8"/>
    <n v="21.86"/>
    <n v="174.88"/>
    <n v="0"/>
    <n v="42.06"/>
    <s v="Bank Transfer"/>
    <n v="7"/>
  </r>
  <r>
    <s v="ORD-1855"/>
    <s v="2025-04-04"/>
    <x v="9"/>
    <s v="CUST-228"/>
    <s v="Tiffany Strickland"/>
    <x v="1"/>
    <x v="1"/>
    <x v="1"/>
    <x v="15"/>
    <n v="6"/>
    <n v="239.95"/>
    <n v="1439.7"/>
    <n v="0.05"/>
    <n v="643.91"/>
    <s v="Bank Transfer"/>
    <n v="4"/>
  </r>
  <r>
    <s v="ORD-1856"/>
    <s v="2025-07-29"/>
    <x v="10"/>
    <s v="CUST-212"/>
    <s v="Sara Boyer"/>
    <x v="0"/>
    <x v="0"/>
    <x v="1"/>
    <x v="15"/>
    <n v="1"/>
    <n v="904.9"/>
    <n v="904.9"/>
    <n v="0.05"/>
    <n v="383.63"/>
    <s v="Bank Transfer"/>
    <n v="3"/>
  </r>
  <r>
    <s v="ORD-1857"/>
    <s v="2025-01-16"/>
    <x v="3"/>
    <s v="CUST-249"/>
    <s v="Gina Harrison"/>
    <x v="1"/>
    <x v="1"/>
    <x v="1"/>
    <x v="11"/>
    <n v="2"/>
    <n v="465.72"/>
    <n v="931.44"/>
    <n v="0.1"/>
    <n v="439.51"/>
    <s v="PayPal"/>
    <n v="2"/>
  </r>
  <r>
    <s v="ORD-1858"/>
    <s v="2025-01-22"/>
    <x v="3"/>
    <s v="CUST-124"/>
    <s v="Randall Melton"/>
    <x v="1"/>
    <x v="0"/>
    <x v="1"/>
    <x v="1"/>
    <n v="5"/>
    <n v="907.12"/>
    <n v="4535.6000000000004"/>
    <n v="0"/>
    <n v="1287.53"/>
    <s v="PayPal"/>
    <n v="10"/>
  </r>
  <r>
    <s v="ORD-1859"/>
    <s v="2025-06-22"/>
    <x v="2"/>
    <s v="CUST-194"/>
    <s v="Jacob Phillips"/>
    <x v="0"/>
    <x v="3"/>
    <x v="0"/>
    <x v="2"/>
    <n v="8"/>
    <n v="578.41"/>
    <n v="4627.28"/>
    <n v="0.1"/>
    <n v="1283.73"/>
    <s v="PayPal"/>
    <n v="4"/>
  </r>
  <r>
    <s v="ORD-1860"/>
    <s v="2025-02-21"/>
    <x v="0"/>
    <s v="CUST-100"/>
    <s v="Scott Myers"/>
    <x v="2"/>
    <x v="1"/>
    <x v="2"/>
    <x v="13"/>
    <n v="7"/>
    <n v="740.75"/>
    <n v="5185.25"/>
    <n v="0.1"/>
    <n v="936.93"/>
    <s v="Bank Transfer"/>
    <n v="3"/>
  </r>
  <r>
    <s v="ORD-1861"/>
    <s v="2025-05-08"/>
    <x v="7"/>
    <s v="CUST-194"/>
    <s v="Melissa Cruz"/>
    <x v="2"/>
    <x v="1"/>
    <x v="1"/>
    <x v="9"/>
    <n v="2"/>
    <n v="1045.43"/>
    <n v="2090.86"/>
    <n v="0.1"/>
    <n v="319.10000000000002"/>
    <s v="Bank Transfer"/>
    <n v="7"/>
  </r>
  <r>
    <s v="ORD-1862"/>
    <s v="2025-07-04"/>
    <x v="10"/>
    <s v="CUST-111"/>
    <s v="Mallory Adams"/>
    <x v="0"/>
    <x v="3"/>
    <x v="0"/>
    <x v="10"/>
    <n v="1"/>
    <n v="1183.69"/>
    <n v="1183.69"/>
    <n v="0.1"/>
    <n v="578.84"/>
    <s v="Bank Transfer"/>
    <n v="8"/>
  </r>
  <r>
    <s v="ORD-1863"/>
    <s v="2025-06-28"/>
    <x v="2"/>
    <s v="CUST-209"/>
    <s v="Amanda Schwartz"/>
    <x v="2"/>
    <x v="0"/>
    <x v="1"/>
    <x v="9"/>
    <n v="8"/>
    <n v="492.19"/>
    <n v="3937.52"/>
    <n v="0.2"/>
    <n v="732.11"/>
    <s v="Bank Transfer"/>
    <n v="7"/>
  </r>
  <r>
    <s v="ORD-1864"/>
    <s v="2025-09-16"/>
    <x v="11"/>
    <s v="CUST-108"/>
    <s v="David Ward"/>
    <x v="1"/>
    <x v="1"/>
    <x v="2"/>
    <x v="14"/>
    <n v="4"/>
    <n v="860.09"/>
    <n v="3440.36"/>
    <n v="0.2"/>
    <n v="549.1"/>
    <s v="Card"/>
    <n v="5"/>
  </r>
  <r>
    <s v="ORD-1865"/>
    <s v="2025-09-04"/>
    <x v="11"/>
    <s v="CUST-269"/>
    <s v="Billy Allen"/>
    <x v="0"/>
    <x v="2"/>
    <x v="0"/>
    <x v="5"/>
    <n v="8"/>
    <n v="218.3"/>
    <n v="1746.4"/>
    <n v="0.15"/>
    <n v="249.36"/>
    <s v="Card"/>
    <n v="4"/>
  </r>
  <r>
    <s v="ORD-1866"/>
    <s v="2025-06-17"/>
    <x v="2"/>
    <s v="CUST-198"/>
    <s v="Joseph Walker"/>
    <x v="2"/>
    <x v="2"/>
    <x v="1"/>
    <x v="4"/>
    <n v="2"/>
    <n v="144.44999999999999"/>
    <n v="288.89999999999998"/>
    <n v="0.3"/>
    <n v="108.86"/>
    <s v="Bank Transfer"/>
    <n v="5"/>
  </r>
  <r>
    <s v="ORD-1867"/>
    <s v="2025-09-09"/>
    <x v="11"/>
    <s v="CUST-123"/>
    <s v="Stacy Brown"/>
    <x v="0"/>
    <x v="3"/>
    <x v="0"/>
    <x v="7"/>
    <n v="2"/>
    <n v="805.26"/>
    <n v="1610.52"/>
    <n v="0.2"/>
    <n v="382.12"/>
    <s v="Card"/>
    <n v="10"/>
  </r>
  <r>
    <s v="ORD-1868"/>
    <s v="2025-07-15"/>
    <x v="10"/>
    <s v="CUST-267"/>
    <s v="Timothy Reyes"/>
    <x v="0"/>
    <x v="1"/>
    <x v="0"/>
    <x v="0"/>
    <n v="6"/>
    <n v="464.87"/>
    <n v="2789.22"/>
    <n v="0.3"/>
    <n v="493.61"/>
    <s v="Card"/>
    <n v="4"/>
  </r>
  <r>
    <s v="ORD-1869"/>
    <s v="2025-10-31"/>
    <x v="1"/>
    <s v="CUST-148"/>
    <s v="Heather Crosby"/>
    <x v="0"/>
    <x v="0"/>
    <x v="2"/>
    <x v="6"/>
    <n v="5"/>
    <n v="123.46"/>
    <n v="617.29999999999995"/>
    <n v="0"/>
    <n v="255.5"/>
    <s v="Bank Transfer"/>
    <n v="6"/>
  </r>
  <r>
    <s v="ORD-1870"/>
    <s v="2025-10-30"/>
    <x v="1"/>
    <s v="CUST-237"/>
    <s v="Madison Ramirez"/>
    <x v="1"/>
    <x v="1"/>
    <x v="1"/>
    <x v="11"/>
    <n v="7"/>
    <n v="700.76"/>
    <n v="4905.32"/>
    <n v="0"/>
    <n v="2088.1"/>
    <s v="PayPal"/>
    <n v="6"/>
  </r>
  <r>
    <s v="ORD-1871"/>
    <s v="2025-07-22"/>
    <x v="10"/>
    <s v="CUST-102"/>
    <s v="Paul Dunn"/>
    <x v="0"/>
    <x v="1"/>
    <x v="2"/>
    <x v="12"/>
    <n v="9"/>
    <n v="803.22"/>
    <n v="7228.98"/>
    <n v="0.2"/>
    <n v="2666.88"/>
    <s v="PayPal"/>
    <n v="3"/>
  </r>
  <r>
    <s v="ORD-1872"/>
    <s v="2025-03-16"/>
    <x v="5"/>
    <s v="CUST-291"/>
    <s v="Katherine Miller"/>
    <x v="0"/>
    <x v="0"/>
    <x v="2"/>
    <x v="12"/>
    <n v="8"/>
    <n v="822.38"/>
    <n v="6579.04"/>
    <n v="0.05"/>
    <n v="1933.86"/>
    <s v="Bank Transfer"/>
    <n v="6"/>
  </r>
  <r>
    <s v="ORD-1873"/>
    <s v="2025-11-20"/>
    <x v="6"/>
    <s v="CUST-155"/>
    <s v="Kim Stephenson"/>
    <x v="2"/>
    <x v="3"/>
    <x v="2"/>
    <x v="14"/>
    <n v="2"/>
    <n v="342.67"/>
    <n v="685.34"/>
    <n v="0.3"/>
    <n v="153.71"/>
    <s v="Bank Transfer"/>
    <n v="7"/>
  </r>
  <r>
    <s v="ORD-1874"/>
    <s v="2025-04-26"/>
    <x v="9"/>
    <s v="CUST-279"/>
    <s v="Denise Golden"/>
    <x v="0"/>
    <x v="0"/>
    <x v="1"/>
    <x v="11"/>
    <n v="3"/>
    <n v="996.9"/>
    <n v="2990.7"/>
    <n v="0.05"/>
    <n v="598.84"/>
    <s v="Card"/>
    <n v="8"/>
  </r>
  <r>
    <s v="ORD-1875"/>
    <s v="2025-03-23"/>
    <x v="5"/>
    <s v="CUST-105"/>
    <s v="Margaret Allen"/>
    <x v="0"/>
    <x v="1"/>
    <x v="0"/>
    <x v="7"/>
    <n v="5"/>
    <n v="1181.58"/>
    <n v="5907.9"/>
    <n v="0.3"/>
    <n v="765.28"/>
    <s v="PayPal"/>
    <n v="7"/>
  </r>
  <r>
    <s v="ORD-1876"/>
    <s v="2025-05-25"/>
    <x v="7"/>
    <s v="CUST-172"/>
    <s v="Sydney Daugherty"/>
    <x v="0"/>
    <x v="2"/>
    <x v="0"/>
    <x v="7"/>
    <n v="6"/>
    <n v="914.1"/>
    <n v="5484.6"/>
    <n v="0.15"/>
    <n v="2430.12"/>
    <s v="Bank Transfer"/>
    <n v="9"/>
  </r>
  <r>
    <s v="ORD-1877"/>
    <s v="2025-01-28"/>
    <x v="3"/>
    <s v="CUST-281"/>
    <s v="Steven Perez"/>
    <x v="2"/>
    <x v="1"/>
    <x v="2"/>
    <x v="6"/>
    <n v="3"/>
    <n v="401.63"/>
    <n v="1204.8900000000001"/>
    <n v="0.2"/>
    <n v="196.31"/>
    <s v="Bank Transfer"/>
    <n v="3"/>
  </r>
  <r>
    <s v="ORD-1878"/>
    <s v="2025-04-18"/>
    <x v="9"/>
    <s v="CUST-155"/>
    <s v="Tammy Flores"/>
    <x v="0"/>
    <x v="2"/>
    <x v="0"/>
    <x v="10"/>
    <n v="8"/>
    <n v="841.23"/>
    <n v="6729.84"/>
    <n v="0.1"/>
    <n v="1157.54"/>
    <s v="Bank Transfer"/>
    <n v="1"/>
  </r>
  <r>
    <s v="ORD-1879"/>
    <s v="2025-08-07"/>
    <x v="8"/>
    <s v="CUST-273"/>
    <s v="Catherine Spencer"/>
    <x v="1"/>
    <x v="0"/>
    <x v="2"/>
    <x v="14"/>
    <n v="2"/>
    <n v="820.42"/>
    <n v="1640.84"/>
    <n v="0.05"/>
    <n v="622.54999999999995"/>
    <s v="Card"/>
    <n v="6"/>
  </r>
  <r>
    <s v="ORD-1880"/>
    <s v="2025-10-31"/>
    <x v="1"/>
    <s v="CUST-211"/>
    <s v="Jeremiah Espinoza"/>
    <x v="1"/>
    <x v="1"/>
    <x v="2"/>
    <x v="12"/>
    <n v="1"/>
    <n v="158.47"/>
    <n v="158.47"/>
    <n v="0.2"/>
    <n v="36.76"/>
    <s v="Card"/>
    <n v="1"/>
  </r>
  <r>
    <s v="ORD-1881"/>
    <s v="2025-03-30"/>
    <x v="5"/>
    <s v="CUST-267"/>
    <s v="Chad Jones"/>
    <x v="0"/>
    <x v="1"/>
    <x v="1"/>
    <x v="15"/>
    <n v="7"/>
    <n v="596.58000000000004"/>
    <n v="4176.0600000000004"/>
    <n v="0.3"/>
    <n v="910.7"/>
    <s v="Bank Transfer"/>
    <n v="2"/>
  </r>
  <r>
    <s v="ORD-1882"/>
    <s v="2025-03-03"/>
    <x v="5"/>
    <s v="CUST-129"/>
    <s v="Anthony Kim"/>
    <x v="1"/>
    <x v="0"/>
    <x v="2"/>
    <x v="13"/>
    <n v="5"/>
    <n v="766.15"/>
    <n v="3830.75"/>
    <n v="0.15"/>
    <n v="1312.45"/>
    <s v="PayPal"/>
    <n v="9"/>
  </r>
  <r>
    <s v="ORD-1883"/>
    <s v="2025-12-22"/>
    <x v="4"/>
    <s v="CUST-290"/>
    <s v="Nathan White"/>
    <x v="1"/>
    <x v="2"/>
    <x v="1"/>
    <x v="1"/>
    <n v="10"/>
    <n v="696.12"/>
    <n v="6961.2"/>
    <n v="0.2"/>
    <n v="1994.81"/>
    <s v="PayPal"/>
    <n v="8"/>
  </r>
  <r>
    <s v="ORD-1884"/>
    <s v="2025-10-03"/>
    <x v="1"/>
    <s v="CUST-147"/>
    <s v="Eric Cohen"/>
    <x v="2"/>
    <x v="0"/>
    <x v="0"/>
    <x v="7"/>
    <n v="5"/>
    <n v="694.28"/>
    <n v="3471.4"/>
    <n v="0"/>
    <n v="1457.67"/>
    <s v="PayPal"/>
    <n v="9"/>
  </r>
  <r>
    <s v="ORD-1885"/>
    <s v="2025-11-30"/>
    <x v="6"/>
    <s v="CUST-131"/>
    <s v="Danielle Johnson"/>
    <x v="1"/>
    <x v="0"/>
    <x v="0"/>
    <x v="5"/>
    <n v="8"/>
    <n v="95.44"/>
    <n v="763.52"/>
    <n v="0.2"/>
    <n v="204.26"/>
    <s v="Card"/>
    <n v="10"/>
  </r>
  <r>
    <s v="ORD-1886"/>
    <s v="2025-03-07"/>
    <x v="5"/>
    <s v="CUST-247"/>
    <s v="Krystal Smith"/>
    <x v="1"/>
    <x v="2"/>
    <x v="0"/>
    <x v="10"/>
    <n v="1"/>
    <n v="674.57"/>
    <n v="674.57"/>
    <n v="0.1"/>
    <n v="304.02999999999997"/>
    <s v="Card"/>
    <n v="9"/>
  </r>
  <r>
    <s v="ORD-1887"/>
    <s v="2025-10-06"/>
    <x v="1"/>
    <s v="CUST-143"/>
    <s v="Clifford Hodges"/>
    <x v="2"/>
    <x v="0"/>
    <x v="2"/>
    <x v="6"/>
    <n v="2"/>
    <n v="1176.32"/>
    <n v="2352.64"/>
    <n v="0.2"/>
    <n v="810.38"/>
    <s v="Card"/>
    <n v="5"/>
  </r>
  <r>
    <s v="ORD-1888"/>
    <s v="2025-09-09"/>
    <x v="11"/>
    <s v="CUST-277"/>
    <s v="Jacob Hayes"/>
    <x v="2"/>
    <x v="3"/>
    <x v="1"/>
    <x v="9"/>
    <n v="5"/>
    <n v="797.81"/>
    <n v="3989.05"/>
    <n v="0.15"/>
    <n v="1675.2"/>
    <s v="Bank Transfer"/>
    <n v="9"/>
  </r>
  <r>
    <s v="ORD-1889"/>
    <s v="2025-04-07"/>
    <x v="9"/>
    <s v="CUST-136"/>
    <s v="Stacey Robinson"/>
    <x v="2"/>
    <x v="2"/>
    <x v="0"/>
    <x v="10"/>
    <n v="2"/>
    <n v="801.89"/>
    <n v="1603.78"/>
    <n v="0"/>
    <n v="729.98"/>
    <s v="Card"/>
    <n v="10"/>
  </r>
  <r>
    <s v="ORD-1890"/>
    <s v="2025-08-05"/>
    <x v="8"/>
    <s v="CUST-119"/>
    <s v="Bryan Glenn"/>
    <x v="0"/>
    <x v="3"/>
    <x v="0"/>
    <x v="10"/>
    <n v="10"/>
    <n v="443.7"/>
    <n v="4437"/>
    <n v="0.05"/>
    <n v="1089.02"/>
    <s v="PayPal"/>
    <n v="7"/>
  </r>
  <r>
    <s v="ORD-1891"/>
    <s v="2025-12-22"/>
    <x v="4"/>
    <s v="CUST-136"/>
    <s v="James Brown"/>
    <x v="0"/>
    <x v="2"/>
    <x v="0"/>
    <x v="10"/>
    <n v="7"/>
    <n v="558.16"/>
    <n v="3907.12"/>
    <n v="0.1"/>
    <n v="982.45"/>
    <s v="Card"/>
    <n v="5"/>
  </r>
  <r>
    <s v="ORD-1892"/>
    <s v="2025-11-06"/>
    <x v="6"/>
    <s v="CUST-141"/>
    <s v="Eileen Hall"/>
    <x v="2"/>
    <x v="2"/>
    <x v="0"/>
    <x v="10"/>
    <n v="6"/>
    <n v="685.1"/>
    <n v="4110.6000000000004"/>
    <n v="0.3"/>
    <n v="638.20000000000005"/>
    <s v="PayPal"/>
    <n v="7"/>
  </r>
  <r>
    <s v="ORD-1893"/>
    <s v="2025-02-26"/>
    <x v="0"/>
    <s v="CUST-275"/>
    <s v="Karen Lane"/>
    <x v="0"/>
    <x v="1"/>
    <x v="2"/>
    <x v="6"/>
    <n v="10"/>
    <n v="312.05"/>
    <n v="3120.5"/>
    <n v="0.1"/>
    <n v="1404.65"/>
    <s v="Card"/>
    <n v="6"/>
  </r>
  <r>
    <s v="ORD-1894"/>
    <s v="2025-04-26"/>
    <x v="9"/>
    <s v="CUST-170"/>
    <s v="Ryan Simmons"/>
    <x v="1"/>
    <x v="0"/>
    <x v="0"/>
    <x v="0"/>
    <n v="6"/>
    <n v="1092.9100000000001"/>
    <n v="6557.46"/>
    <n v="0.1"/>
    <n v="2900.5"/>
    <s v="PayPal"/>
    <n v="4"/>
  </r>
  <r>
    <s v="ORD-1895"/>
    <s v="2025-10-29"/>
    <x v="1"/>
    <s v="CUST-225"/>
    <s v="Lisa Saunders"/>
    <x v="1"/>
    <x v="3"/>
    <x v="2"/>
    <x v="6"/>
    <n v="2"/>
    <n v="227.36"/>
    <n v="454.72"/>
    <n v="0.3"/>
    <n v="63.6"/>
    <s v="Bank Transfer"/>
    <n v="10"/>
  </r>
  <r>
    <s v="ORD-1896"/>
    <s v="2025-07-19"/>
    <x v="10"/>
    <s v="CUST-146"/>
    <s v="Patrick Clark"/>
    <x v="2"/>
    <x v="1"/>
    <x v="2"/>
    <x v="14"/>
    <n v="5"/>
    <n v="736.81"/>
    <n v="3684.05"/>
    <n v="0"/>
    <n v="1774.61"/>
    <s v="PayPal"/>
    <n v="10"/>
  </r>
  <r>
    <s v="ORD-1897"/>
    <s v="2025-03-06"/>
    <x v="5"/>
    <s v="CUST-136"/>
    <s v="Joshua Hayes"/>
    <x v="2"/>
    <x v="3"/>
    <x v="1"/>
    <x v="11"/>
    <n v="1"/>
    <n v="830.26"/>
    <n v="830.26"/>
    <n v="0.3"/>
    <n v="283.5"/>
    <s v="Card"/>
    <n v="6"/>
  </r>
  <r>
    <s v="ORD-1898"/>
    <s v="2025-07-01"/>
    <x v="10"/>
    <s v="CUST-219"/>
    <s v="Lynn Wise"/>
    <x v="0"/>
    <x v="3"/>
    <x v="0"/>
    <x v="10"/>
    <n v="10"/>
    <n v="513.53"/>
    <n v="5135.3"/>
    <n v="0.15"/>
    <n v="2081.0500000000002"/>
    <s v="PayPal"/>
    <n v="7"/>
  </r>
  <r>
    <s v="ORD-1899"/>
    <s v="2025-07-28"/>
    <x v="10"/>
    <s v="CUST-297"/>
    <s v="Natasha Zavala"/>
    <x v="2"/>
    <x v="0"/>
    <x v="0"/>
    <x v="10"/>
    <n v="5"/>
    <n v="770.05"/>
    <n v="3850.25"/>
    <n v="0"/>
    <n v="658.46"/>
    <s v="Bank Transfer"/>
    <n v="2"/>
  </r>
  <r>
    <s v="ORD-1900"/>
    <s v="2025-02-13"/>
    <x v="0"/>
    <s v="CUST-290"/>
    <s v="Christine Espinoza"/>
    <x v="2"/>
    <x v="1"/>
    <x v="1"/>
    <x v="4"/>
    <n v="4"/>
    <n v="1134.94"/>
    <n v="4539.76"/>
    <n v="0.05"/>
    <n v="1379.54"/>
    <s v="Card"/>
    <n v="7"/>
  </r>
  <r>
    <s v="ORD-1901"/>
    <s v="2025-12-13"/>
    <x v="4"/>
    <s v="CUST-236"/>
    <s v="Kelly Stanley"/>
    <x v="0"/>
    <x v="0"/>
    <x v="0"/>
    <x v="5"/>
    <n v="3"/>
    <n v="585.99"/>
    <n v="1757.97"/>
    <n v="0.2"/>
    <n v="388.09"/>
    <s v="PayPal"/>
    <n v="1"/>
  </r>
  <r>
    <s v="ORD-1902"/>
    <s v="2025-06-26"/>
    <x v="2"/>
    <s v="CUST-162"/>
    <s v="Sandra Hughes"/>
    <x v="0"/>
    <x v="0"/>
    <x v="0"/>
    <x v="10"/>
    <n v="1"/>
    <n v="862.71"/>
    <n v="862.71"/>
    <n v="0.3"/>
    <n v="203.07"/>
    <s v="Bank Transfer"/>
    <n v="8"/>
  </r>
  <r>
    <s v="ORD-1903"/>
    <s v="2025-03-10"/>
    <x v="5"/>
    <s v="CUST-231"/>
    <s v="Chad Fox"/>
    <x v="2"/>
    <x v="0"/>
    <x v="1"/>
    <x v="4"/>
    <n v="9"/>
    <n v="1086.48"/>
    <n v="9778.32"/>
    <n v="0.05"/>
    <n v="4830.04"/>
    <s v="PayPal"/>
    <n v="8"/>
  </r>
  <r>
    <s v="ORD-1904"/>
    <s v="2025-05-08"/>
    <x v="7"/>
    <s v="CUST-238"/>
    <s v="Elizabeth Carlson"/>
    <x v="1"/>
    <x v="3"/>
    <x v="2"/>
    <x v="12"/>
    <n v="6"/>
    <n v="1164.28"/>
    <n v="6985.68"/>
    <n v="0.1"/>
    <n v="1159.23"/>
    <s v="PayPal"/>
    <n v="8"/>
  </r>
  <r>
    <s v="ORD-1905"/>
    <s v="2025-04-22"/>
    <x v="9"/>
    <s v="CUST-178"/>
    <s v="Zachary Harris"/>
    <x v="0"/>
    <x v="0"/>
    <x v="2"/>
    <x v="8"/>
    <n v="4"/>
    <n v="22.64"/>
    <n v="90.56"/>
    <n v="0.3"/>
    <n v="20.440000000000001"/>
    <s v="PayPal"/>
    <n v="10"/>
  </r>
  <r>
    <s v="ORD-1906"/>
    <s v="2025-07-01"/>
    <x v="10"/>
    <s v="CUST-127"/>
    <s v="Shelly Wright"/>
    <x v="1"/>
    <x v="3"/>
    <x v="2"/>
    <x v="6"/>
    <n v="6"/>
    <n v="26.95"/>
    <n v="161.69999999999999"/>
    <n v="0.15"/>
    <n v="57.53"/>
    <s v="Bank Transfer"/>
    <n v="3"/>
  </r>
  <r>
    <s v="ORD-1907"/>
    <s v="2025-09-28"/>
    <x v="11"/>
    <s v="CUST-231"/>
    <s v="Andre Cruz"/>
    <x v="1"/>
    <x v="1"/>
    <x v="2"/>
    <x v="8"/>
    <n v="1"/>
    <n v="139.58000000000001"/>
    <n v="139.58000000000001"/>
    <n v="0.15"/>
    <n v="55.88"/>
    <s v="Card"/>
    <n v="8"/>
  </r>
  <r>
    <s v="ORD-1908"/>
    <s v="2025-07-06"/>
    <x v="10"/>
    <s v="CUST-209"/>
    <s v="Holly Floyd"/>
    <x v="1"/>
    <x v="3"/>
    <x v="1"/>
    <x v="15"/>
    <n v="5"/>
    <n v="286.79000000000002"/>
    <n v="1433.95"/>
    <n v="0.15"/>
    <n v="487.88"/>
    <s v="Card"/>
    <n v="8"/>
  </r>
  <r>
    <s v="ORD-1909"/>
    <s v="2025-07-03"/>
    <x v="10"/>
    <s v="CUST-281"/>
    <s v="Andrew Diaz"/>
    <x v="1"/>
    <x v="0"/>
    <x v="0"/>
    <x v="7"/>
    <n v="3"/>
    <n v="185.05"/>
    <n v="555.15"/>
    <n v="0.3"/>
    <n v="146.28"/>
    <s v="Card"/>
    <n v="5"/>
  </r>
  <r>
    <s v="ORD-1910"/>
    <s v="2025-03-24"/>
    <x v="5"/>
    <s v="CUST-270"/>
    <s v="Juan Reeves"/>
    <x v="1"/>
    <x v="1"/>
    <x v="1"/>
    <x v="15"/>
    <n v="7"/>
    <n v="516.85"/>
    <n v="3617.95"/>
    <n v="0.1"/>
    <n v="617.37"/>
    <s v="Bank Transfer"/>
    <n v="5"/>
  </r>
  <r>
    <s v="ORD-1911"/>
    <s v="2025-06-16"/>
    <x v="2"/>
    <s v="CUST-292"/>
    <s v="Joyce Bates"/>
    <x v="2"/>
    <x v="1"/>
    <x v="1"/>
    <x v="3"/>
    <n v="8"/>
    <n v="669.15"/>
    <n v="5353.2"/>
    <n v="0.3"/>
    <n v="990.29"/>
    <s v="Card"/>
    <n v="2"/>
  </r>
  <r>
    <s v="ORD-1912"/>
    <s v="2025-12-17"/>
    <x v="4"/>
    <s v="CUST-160"/>
    <s v="James Rhodes"/>
    <x v="1"/>
    <x v="3"/>
    <x v="1"/>
    <x v="1"/>
    <n v="3"/>
    <n v="203.54"/>
    <n v="610.62"/>
    <n v="0.2"/>
    <n v="266.01"/>
    <s v="PayPal"/>
    <n v="10"/>
  </r>
  <r>
    <s v="ORD-1913"/>
    <s v="2025-08-08"/>
    <x v="8"/>
    <s v="CUST-163"/>
    <s v="Matthew Porter"/>
    <x v="0"/>
    <x v="2"/>
    <x v="0"/>
    <x v="0"/>
    <n v="7"/>
    <n v="586.63"/>
    <n v="4106.41"/>
    <n v="0.1"/>
    <n v="1314.32"/>
    <s v="Bank Transfer"/>
    <n v="9"/>
  </r>
  <r>
    <s v="ORD-1914"/>
    <s v="2025-05-07"/>
    <x v="7"/>
    <s v="CUST-270"/>
    <s v="Krista Ramirez"/>
    <x v="2"/>
    <x v="2"/>
    <x v="1"/>
    <x v="15"/>
    <n v="5"/>
    <n v="924.74"/>
    <n v="4623.7"/>
    <n v="0.1"/>
    <n v="633.76"/>
    <s v="PayPal"/>
    <n v="2"/>
  </r>
  <r>
    <s v="ORD-1915"/>
    <s v="2025-03-18"/>
    <x v="5"/>
    <s v="CUST-158"/>
    <s v="Aaron Moore PhD"/>
    <x v="1"/>
    <x v="2"/>
    <x v="0"/>
    <x v="5"/>
    <n v="10"/>
    <n v="233.8"/>
    <n v="2338"/>
    <n v="0.2"/>
    <n v="558.20000000000005"/>
    <s v="PayPal"/>
    <n v="1"/>
  </r>
  <r>
    <s v="ORD-1916"/>
    <s v="2025-01-27"/>
    <x v="3"/>
    <s v="CUST-197"/>
    <s v="Chelsea Greene"/>
    <x v="2"/>
    <x v="3"/>
    <x v="2"/>
    <x v="12"/>
    <n v="3"/>
    <n v="523.04"/>
    <n v="1569.12"/>
    <n v="0.2"/>
    <n v="590.16999999999996"/>
    <s v="Bank Transfer"/>
    <n v="4"/>
  </r>
  <r>
    <s v="ORD-1917"/>
    <s v="2025-01-27"/>
    <x v="3"/>
    <s v="CUST-177"/>
    <s v="Kenneth Lee"/>
    <x v="1"/>
    <x v="3"/>
    <x v="1"/>
    <x v="11"/>
    <n v="7"/>
    <n v="585.45000000000005"/>
    <n v="4098.1499999999996"/>
    <n v="0.2"/>
    <n v="1243.1199999999999"/>
    <s v="PayPal"/>
    <n v="5"/>
  </r>
  <r>
    <s v="ORD-1918"/>
    <s v="2025-01-01"/>
    <x v="3"/>
    <s v="CUST-113"/>
    <s v="Alicia Sanford"/>
    <x v="0"/>
    <x v="3"/>
    <x v="2"/>
    <x v="13"/>
    <n v="4"/>
    <n v="397.41"/>
    <n v="1589.64"/>
    <n v="0"/>
    <n v="758.73"/>
    <s v="Card"/>
    <n v="5"/>
  </r>
  <r>
    <s v="ORD-1919"/>
    <s v="2025-09-09"/>
    <x v="11"/>
    <s v="CUST-193"/>
    <s v="Brian Green"/>
    <x v="2"/>
    <x v="3"/>
    <x v="2"/>
    <x v="8"/>
    <n v="10"/>
    <n v="138.9"/>
    <n v="1389"/>
    <n v="0.05"/>
    <n v="592.6"/>
    <s v="Card"/>
    <n v="2"/>
  </r>
  <r>
    <s v="ORD-1920"/>
    <s v="2025-07-05"/>
    <x v="10"/>
    <s v="CUST-290"/>
    <s v="Brian Diaz"/>
    <x v="0"/>
    <x v="3"/>
    <x v="0"/>
    <x v="0"/>
    <n v="9"/>
    <n v="929.15"/>
    <n v="8362.35"/>
    <n v="0.05"/>
    <n v="3316.84"/>
    <s v="Card"/>
    <n v="5"/>
  </r>
  <r>
    <s v="ORD-1921"/>
    <s v="2025-11-05"/>
    <x v="6"/>
    <s v="CUST-130"/>
    <s v="Sandra Duarte"/>
    <x v="1"/>
    <x v="2"/>
    <x v="1"/>
    <x v="9"/>
    <n v="7"/>
    <n v="122.93"/>
    <n v="860.51"/>
    <n v="0"/>
    <n v="428.37"/>
    <s v="Card"/>
    <n v="8"/>
  </r>
  <r>
    <s v="ORD-1922"/>
    <s v="2025-04-14"/>
    <x v="9"/>
    <s v="CUST-236"/>
    <s v="Nicholas Mendoza"/>
    <x v="0"/>
    <x v="2"/>
    <x v="1"/>
    <x v="1"/>
    <n v="9"/>
    <n v="750.43"/>
    <n v="6753.87"/>
    <n v="0.1"/>
    <n v="1579.55"/>
    <s v="Card"/>
    <n v="3"/>
  </r>
  <r>
    <s v="ORD-1923"/>
    <s v="2025-07-07"/>
    <x v="10"/>
    <s v="CUST-214"/>
    <s v="Paul Sanford"/>
    <x v="0"/>
    <x v="0"/>
    <x v="1"/>
    <x v="3"/>
    <n v="9"/>
    <n v="859.69"/>
    <n v="7737.21"/>
    <n v="0.2"/>
    <n v="990.05"/>
    <s v="PayPal"/>
    <n v="2"/>
  </r>
  <r>
    <s v="ORD-1924"/>
    <s v="2025-03-27"/>
    <x v="5"/>
    <s v="CUST-253"/>
    <s v="Kelly Jordan"/>
    <x v="2"/>
    <x v="2"/>
    <x v="2"/>
    <x v="13"/>
    <n v="9"/>
    <n v="1118.97"/>
    <n v="10070.73"/>
    <n v="0.2"/>
    <n v="1882.39"/>
    <s v="PayPal"/>
    <n v="1"/>
  </r>
  <r>
    <s v="ORD-1925"/>
    <s v="2025-09-30"/>
    <x v="11"/>
    <s v="CUST-231"/>
    <s v="Amy Riley"/>
    <x v="1"/>
    <x v="2"/>
    <x v="0"/>
    <x v="0"/>
    <n v="4"/>
    <n v="894.04"/>
    <n v="3576.16"/>
    <n v="0.15"/>
    <n v="1069.96"/>
    <s v="PayPal"/>
    <n v="9"/>
  </r>
  <r>
    <s v="ORD-1926"/>
    <s v="2025-01-02"/>
    <x v="3"/>
    <s v="CUST-140"/>
    <s v="James Nguyen MD"/>
    <x v="0"/>
    <x v="2"/>
    <x v="2"/>
    <x v="14"/>
    <n v="7"/>
    <n v="493"/>
    <n v="3451"/>
    <n v="0.1"/>
    <n v="1451.17"/>
    <s v="Bank Transfer"/>
    <n v="1"/>
  </r>
  <r>
    <s v="ORD-1927"/>
    <s v="2025-04-23"/>
    <x v="9"/>
    <s v="CUST-175"/>
    <s v="Michelle Smith"/>
    <x v="0"/>
    <x v="3"/>
    <x v="0"/>
    <x v="7"/>
    <n v="9"/>
    <n v="855.15"/>
    <n v="7696.35"/>
    <n v="0.2"/>
    <n v="2748.93"/>
    <s v="Bank Transfer"/>
    <n v="2"/>
  </r>
  <r>
    <s v="ORD-1928"/>
    <s v="2025-03-17"/>
    <x v="5"/>
    <s v="CUST-171"/>
    <s v="Briana Bennett"/>
    <x v="1"/>
    <x v="3"/>
    <x v="1"/>
    <x v="15"/>
    <n v="1"/>
    <n v="649.61"/>
    <n v="649.61"/>
    <n v="0.1"/>
    <n v="312.42"/>
    <s v="Card"/>
    <n v="4"/>
  </r>
  <r>
    <s v="ORD-1929"/>
    <s v="2025-07-08"/>
    <x v="10"/>
    <s v="CUST-183"/>
    <s v="Travis James"/>
    <x v="1"/>
    <x v="3"/>
    <x v="1"/>
    <x v="9"/>
    <n v="2"/>
    <n v="21.65"/>
    <n v="43.3"/>
    <n v="0.1"/>
    <n v="11.57"/>
    <s v="Bank Transfer"/>
    <n v="3"/>
  </r>
  <r>
    <s v="ORD-1930"/>
    <s v="2025-01-06"/>
    <x v="3"/>
    <s v="CUST-191"/>
    <s v="Anna Trujillo"/>
    <x v="1"/>
    <x v="3"/>
    <x v="2"/>
    <x v="14"/>
    <n v="5"/>
    <n v="403.07"/>
    <n v="2015.35"/>
    <n v="0"/>
    <n v="603.83000000000004"/>
    <s v="Card"/>
    <n v="5"/>
  </r>
  <r>
    <s v="ORD-1931"/>
    <s v="2025-12-01"/>
    <x v="4"/>
    <s v="CUST-165"/>
    <s v="Judith Hurst"/>
    <x v="0"/>
    <x v="2"/>
    <x v="1"/>
    <x v="9"/>
    <n v="10"/>
    <n v="145.6"/>
    <n v="1456"/>
    <n v="0.3"/>
    <n v="280.02999999999997"/>
    <s v="PayPal"/>
    <n v="4"/>
  </r>
  <r>
    <s v="ORD-1932"/>
    <s v="2025-04-29"/>
    <x v="9"/>
    <s v="CUST-286"/>
    <s v="Jimmy Torres"/>
    <x v="0"/>
    <x v="1"/>
    <x v="2"/>
    <x v="8"/>
    <n v="4"/>
    <n v="706.36"/>
    <n v="2825.44"/>
    <n v="0.15"/>
    <n v="1171.3800000000001"/>
    <s v="PayPal"/>
    <n v="3"/>
  </r>
  <r>
    <s v="ORD-1933"/>
    <s v="2025-04-01"/>
    <x v="9"/>
    <s v="CUST-148"/>
    <s v="Todd Barton"/>
    <x v="0"/>
    <x v="1"/>
    <x v="2"/>
    <x v="6"/>
    <n v="8"/>
    <n v="234.19"/>
    <n v="1873.52"/>
    <n v="0.05"/>
    <n v="398.26"/>
    <s v="Bank Transfer"/>
    <n v="3"/>
  </r>
  <r>
    <s v="ORD-1934"/>
    <s v="2025-12-18"/>
    <x v="4"/>
    <s v="CUST-255"/>
    <s v="Joseph Carter"/>
    <x v="1"/>
    <x v="0"/>
    <x v="0"/>
    <x v="2"/>
    <n v="1"/>
    <n v="385.99"/>
    <n v="385.99"/>
    <n v="0.05"/>
    <n v="81.77"/>
    <s v="Card"/>
    <n v="2"/>
  </r>
  <r>
    <s v="ORD-1935"/>
    <s v="2025-09-27"/>
    <x v="11"/>
    <s v="CUST-135"/>
    <s v="Catherine Hancock"/>
    <x v="0"/>
    <x v="0"/>
    <x v="2"/>
    <x v="12"/>
    <n v="8"/>
    <n v="1092.77"/>
    <n v="8742.16"/>
    <n v="0.15"/>
    <n v="3789.03"/>
    <s v="Bank Transfer"/>
    <n v="2"/>
  </r>
  <r>
    <s v="ORD-1936"/>
    <s v="2025-11-26"/>
    <x v="6"/>
    <s v="CUST-111"/>
    <s v="Ashley Cooper"/>
    <x v="1"/>
    <x v="2"/>
    <x v="2"/>
    <x v="13"/>
    <n v="1"/>
    <n v="149.84"/>
    <n v="149.84"/>
    <n v="0"/>
    <n v="36.65"/>
    <s v="Card"/>
    <n v="5"/>
  </r>
  <r>
    <s v="ORD-1937"/>
    <s v="2025-02-24"/>
    <x v="0"/>
    <s v="CUST-238"/>
    <s v="Patricia Foster"/>
    <x v="0"/>
    <x v="3"/>
    <x v="1"/>
    <x v="4"/>
    <n v="10"/>
    <n v="35.93"/>
    <n v="359.3"/>
    <n v="0"/>
    <n v="59.99"/>
    <s v="Bank Transfer"/>
    <n v="2"/>
  </r>
  <r>
    <s v="ORD-1938"/>
    <s v="2025-06-07"/>
    <x v="2"/>
    <s v="CUST-184"/>
    <s v="Jeremy Sanchez"/>
    <x v="2"/>
    <x v="2"/>
    <x v="1"/>
    <x v="15"/>
    <n v="8"/>
    <n v="916.41"/>
    <n v="7331.28"/>
    <n v="0.15"/>
    <n v="1394.72"/>
    <s v="Card"/>
    <n v="1"/>
  </r>
  <r>
    <s v="ORD-1939"/>
    <s v="2025-06-01"/>
    <x v="2"/>
    <s v="CUST-126"/>
    <s v="James Fernandez"/>
    <x v="0"/>
    <x v="1"/>
    <x v="0"/>
    <x v="2"/>
    <n v="9"/>
    <n v="165.23"/>
    <n v="1487.07"/>
    <n v="0"/>
    <n v="756.73"/>
    <s v="Card"/>
    <n v="1"/>
  </r>
  <r>
    <s v="ORD-1940"/>
    <s v="2025-05-27"/>
    <x v="7"/>
    <s v="CUST-157"/>
    <s v="Timothy Garcia"/>
    <x v="0"/>
    <x v="1"/>
    <x v="1"/>
    <x v="1"/>
    <n v="4"/>
    <n v="524.02"/>
    <n v="2096.08"/>
    <n v="0.05"/>
    <n v="813.79"/>
    <s v="Bank Transfer"/>
    <n v="2"/>
  </r>
  <r>
    <s v="ORD-1941"/>
    <s v="2025-11-12"/>
    <x v="6"/>
    <s v="CUST-185"/>
    <s v="Kim Anderson"/>
    <x v="1"/>
    <x v="3"/>
    <x v="2"/>
    <x v="12"/>
    <n v="2"/>
    <n v="284.94"/>
    <n v="569.88"/>
    <n v="0.1"/>
    <n v="208.79"/>
    <s v="Card"/>
    <n v="1"/>
  </r>
  <r>
    <s v="ORD-1942"/>
    <s v="2025-12-14"/>
    <x v="4"/>
    <s v="CUST-208"/>
    <s v="Deborah White"/>
    <x v="1"/>
    <x v="3"/>
    <x v="0"/>
    <x v="10"/>
    <n v="3"/>
    <n v="525.78"/>
    <n v="1577.34"/>
    <n v="0.1"/>
    <n v="440.3"/>
    <s v="Bank Transfer"/>
    <n v="5"/>
  </r>
  <r>
    <s v="ORD-1943"/>
    <s v="2025-05-16"/>
    <x v="7"/>
    <s v="CUST-282"/>
    <s v="Vanessa Andrews"/>
    <x v="1"/>
    <x v="0"/>
    <x v="2"/>
    <x v="6"/>
    <n v="5"/>
    <n v="1101.1600000000001"/>
    <n v="5505.8"/>
    <n v="0.3"/>
    <n v="1550.7"/>
    <s v="Card"/>
    <n v="3"/>
  </r>
  <r>
    <s v="ORD-1944"/>
    <s v="2025-02-27"/>
    <x v="0"/>
    <s v="CUST-247"/>
    <s v="Andrew Hall"/>
    <x v="2"/>
    <x v="3"/>
    <x v="2"/>
    <x v="12"/>
    <n v="7"/>
    <n v="547.1"/>
    <n v="3829.7"/>
    <n v="0.15"/>
    <n v="729.63"/>
    <s v="Card"/>
    <n v="2"/>
  </r>
  <r>
    <s v="ORD-1945"/>
    <s v="2025-08-06"/>
    <x v="8"/>
    <s v="CUST-223"/>
    <s v="Alexandra Marshall"/>
    <x v="0"/>
    <x v="1"/>
    <x v="2"/>
    <x v="12"/>
    <n v="3"/>
    <n v="925.69"/>
    <n v="2777.07"/>
    <n v="0.1"/>
    <n v="1055.42"/>
    <s v="Bank Transfer"/>
    <n v="6"/>
  </r>
  <r>
    <s v="ORD-1946"/>
    <s v="2025-10-01"/>
    <x v="1"/>
    <s v="CUST-226"/>
    <s v="Katie Miller"/>
    <x v="0"/>
    <x v="2"/>
    <x v="1"/>
    <x v="4"/>
    <n v="4"/>
    <n v="472.16"/>
    <n v="1888.64"/>
    <n v="0.2"/>
    <n v="530.57000000000005"/>
    <s v="PayPal"/>
    <n v="2"/>
  </r>
  <r>
    <s v="ORD-1947"/>
    <s v="2025-04-23"/>
    <x v="9"/>
    <s v="CUST-279"/>
    <s v="Clarence Norton"/>
    <x v="1"/>
    <x v="2"/>
    <x v="0"/>
    <x v="7"/>
    <n v="9"/>
    <n v="701.89"/>
    <n v="6317.01"/>
    <n v="0.3"/>
    <n v="997.07"/>
    <s v="PayPal"/>
    <n v="1"/>
  </r>
  <r>
    <s v="ORD-1948"/>
    <s v="2025-01-31"/>
    <x v="3"/>
    <s v="CUST-189"/>
    <s v="Reginald Smith"/>
    <x v="2"/>
    <x v="2"/>
    <x v="1"/>
    <x v="1"/>
    <n v="6"/>
    <n v="678.88"/>
    <n v="4073.28"/>
    <n v="0.05"/>
    <n v="702.87"/>
    <s v="PayPal"/>
    <n v="8"/>
  </r>
  <r>
    <s v="ORD-1949"/>
    <s v="2025-03-12"/>
    <x v="5"/>
    <s v="CUST-130"/>
    <s v="John Shields"/>
    <x v="0"/>
    <x v="2"/>
    <x v="1"/>
    <x v="9"/>
    <n v="7"/>
    <n v="306.14999999999998"/>
    <n v="2143.0500000000002"/>
    <n v="0.05"/>
    <n v="1074.25"/>
    <s v="PayPal"/>
    <n v="1"/>
  </r>
  <r>
    <s v="ORD-1950"/>
    <s v="2025-02-07"/>
    <x v="0"/>
    <s v="CUST-222"/>
    <s v="William Short"/>
    <x v="0"/>
    <x v="2"/>
    <x v="0"/>
    <x v="7"/>
    <n v="6"/>
    <n v="83.82"/>
    <n v="502.92"/>
    <n v="0"/>
    <n v="143.28"/>
    <s v="Card"/>
    <n v="3"/>
  </r>
  <r>
    <s v="ORD-1951"/>
    <s v="2025-08-02"/>
    <x v="8"/>
    <s v="CUST-138"/>
    <s v="Carrie Cox"/>
    <x v="1"/>
    <x v="1"/>
    <x v="2"/>
    <x v="12"/>
    <n v="2"/>
    <n v="309.14999999999998"/>
    <n v="618.29999999999995"/>
    <n v="0"/>
    <n v="199.29"/>
    <s v="Bank Transfer"/>
    <n v="3"/>
  </r>
  <r>
    <s v="ORD-1952"/>
    <s v="2025-11-27"/>
    <x v="6"/>
    <s v="CUST-277"/>
    <s v="James Burns"/>
    <x v="1"/>
    <x v="3"/>
    <x v="0"/>
    <x v="5"/>
    <n v="5"/>
    <n v="574.82000000000005"/>
    <n v="2874.1"/>
    <n v="0.3"/>
    <n v="835.06"/>
    <s v="Card"/>
    <n v="3"/>
  </r>
  <r>
    <s v="ORD-1953"/>
    <s v="2025-01-06"/>
    <x v="3"/>
    <s v="CUST-201"/>
    <s v="Justin Wood"/>
    <x v="2"/>
    <x v="1"/>
    <x v="1"/>
    <x v="4"/>
    <n v="1"/>
    <n v="732.92"/>
    <n v="732.92"/>
    <n v="0.05"/>
    <n v="242.78"/>
    <s v="Bank Transfer"/>
    <n v="5"/>
  </r>
  <r>
    <s v="ORD-1954"/>
    <s v="2025-05-20"/>
    <x v="7"/>
    <s v="CUST-123"/>
    <s v="Christy Bradley"/>
    <x v="0"/>
    <x v="1"/>
    <x v="0"/>
    <x v="5"/>
    <n v="5"/>
    <n v="857.04"/>
    <n v="4285.2"/>
    <n v="0.15"/>
    <n v="646.24"/>
    <s v="Card"/>
    <n v="4"/>
  </r>
  <r>
    <s v="ORD-1955"/>
    <s v="2025-10-14"/>
    <x v="1"/>
    <s v="CUST-254"/>
    <s v="Sarah Evans"/>
    <x v="1"/>
    <x v="1"/>
    <x v="2"/>
    <x v="14"/>
    <n v="1"/>
    <n v="278.31"/>
    <n v="278.31"/>
    <n v="0.05"/>
    <n v="58.43"/>
    <s v="PayPal"/>
    <n v="6"/>
  </r>
  <r>
    <s v="ORD-1956"/>
    <s v="2025-04-10"/>
    <x v="9"/>
    <s v="CUST-169"/>
    <s v="Pamela Shelton"/>
    <x v="1"/>
    <x v="0"/>
    <x v="0"/>
    <x v="7"/>
    <n v="7"/>
    <n v="214.49"/>
    <n v="1501.43"/>
    <n v="0.1"/>
    <n v="393.69"/>
    <s v="Card"/>
    <n v="6"/>
  </r>
  <r>
    <s v="ORD-1957"/>
    <s v="2025-02-03"/>
    <x v="0"/>
    <s v="CUST-154"/>
    <s v="Anne Perez"/>
    <x v="0"/>
    <x v="0"/>
    <x v="0"/>
    <x v="2"/>
    <n v="1"/>
    <n v="302.64999999999998"/>
    <n v="302.64999999999998"/>
    <n v="0.05"/>
    <n v="95.85"/>
    <s v="PayPal"/>
    <n v="4"/>
  </r>
  <r>
    <s v="ORD-1958"/>
    <s v="2025-10-17"/>
    <x v="1"/>
    <s v="CUST-111"/>
    <s v="Thomas Carlson"/>
    <x v="0"/>
    <x v="1"/>
    <x v="0"/>
    <x v="10"/>
    <n v="1"/>
    <n v="303.60000000000002"/>
    <n v="303.60000000000002"/>
    <n v="0"/>
    <n v="48.37"/>
    <s v="Card"/>
    <n v="1"/>
  </r>
  <r>
    <s v="ORD-1959"/>
    <s v="2025-07-23"/>
    <x v="10"/>
    <s v="CUST-228"/>
    <s v="Kelly Bowen"/>
    <x v="1"/>
    <x v="3"/>
    <x v="2"/>
    <x v="6"/>
    <n v="5"/>
    <n v="30"/>
    <n v="150"/>
    <n v="0.1"/>
    <n v="33.659999999999997"/>
    <s v="PayPal"/>
    <n v="6"/>
  </r>
  <r>
    <s v="ORD-1960"/>
    <s v="2025-09-15"/>
    <x v="11"/>
    <s v="CUST-298"/>
    <s v="Luke Jackson"/>
    <x v="1"/>
    <x v="0"/>
    <x v="1"/>
    <x v="4"/>
    <n v="2"/>
    <n v="410.96"/>
    <n v="821.92"/>
    <n v="0.3"/>
    <n v="200.55"/>
    <s v="Bank Transfer"/>
    <n v="7"/>
  </r>
  <r>
    <s v="ORD-1961"/>
    <s v="2025-02-10"/>
    <x v="0"/>
    <s v="CUST-260"/>
    <s v="Jacob Weeks"/>
    <x v="1"/>
    <x v="2"/>
    <x v="2"/>
    <x v="14"/>
    <n v="1"/>
    <n v="362.34"/>
    <n v="362.34"/>
    <n v="0.05"/>
    <n v="95.37"/>
    <s v="Card"/>
    <n v="3"/>
  </r>
  <r>
    <s v="ORD-1962"/>
    <s v="2025-09-25"/>
    <x v="11"/>
    <s v="CUST-296"/>
    <s v="Laura Robinson"/>
    <x v="2"/>
    <x v="1"/>
    <x v="0"/>
    <x v="10"/>
    <n v="9"/>
    <n v="629.23"/>
    <n v="5663.07"/>
    <n v="0.3"/>
    <n v="1215.03"/>
    <s v="Card"/>
    <n v="6"/>
  </r>
  <r>
    <s v="ORD-1963"/>
    <s v="2025-12-31"/>
    <x v="4"/>
    <s v="CUST-298"/>
    <s v="Veronica Woods"/>
    <x v="0"/>
    <x v="1"/>
    <x v="2"/>
    <x v="8"/>
    <n v="10"/>
    <n v="1030.02"/>
    <n v="10300.200000000001"/>
    <n v="0.15"/>
    <n v="4675.22"/>
    <s v="Card"/>
    <n v="4"/>
  </r>
  <r>
    <s v="ORD-1964"/>
    <s v="2025-09-12"/>
    <x v="11"/>
    <s v="CUST-124"/>
    <s v="Logan Acosta"/>
    <x v="1"/>
    <x v="2"/>
    <x v="0"/>
    <x v="5"/>
    <n v="2"/>
    <n v="1150.46"/>
    <n v="2300.92"/>
    <n v="0.2"/>
    <n v="550.16999999999996"/>
    <s v="PayPal"/>
    <n v="9"/>
  </r>
  <r>
    <s v="ORD-1965"/>
    <s v="2025-03-24"/>
    <x v="5"/>
    <s v="CUST-117"/>
    <s v="Ronnie Hood"/>
    <x v="2"/>
    <x v="3"/>
    <x v="1"/>
    <x v="3"/>
    <n v="2"/>
    <n v="556.66999999999996"/>
    <n v="1113.3399999999999"/>
    <n v="0.05"/>
    <n v="186.55"/>
    <s v="PayPal"/>
    <n v="2"/>
  </r>
  <r>
    <s v="ORD-1966"/>
    <s v="2025-08-15"/>
    <x v="8"/>
    <s v="CUST-266"/>
    <s v="Robin Knox"/>
    <x v="1"/>
    <x v="0"/>
    <x v="1"/>
    <x v="15"/>
    <n v="8"/>
    <n v="324.37"/>
    <n v="2594.96"/>
    <n v="0.15"/>
    <n v="349.84"/>
    <s v="Bank Transfer"/>
    <n v="8"/>
  </r>
  <r>
    <s v="ORD-1967"/>
    <s v="2025-03-08"/>
    <x v="5"/>
    <s v="CUST-212"/>
    <s v="Matthew White"/>
    <x v="2"/>
    <x v="3"/>
    <x v="1"/>
    <x v="11"/>
    <n v="5"/>
    <n v="493.11"/>
    <n v="2465.5500000000002"/>
    <n v="0.2"/>
    <n v="361.24"/>
    <s v="PayPal"/>
    <n v="2"/>
  </r>
  <r>
    <s v="ORD-1968"/>
    <s v="2025-11-26"/>
    <x v="6"/>
    <s v="CUST-114"/>
    <s v="Jessica Owens"/>
    <x v="0"/>
    <x v="2"/>
    <x v="0"/>
    <x v="7"/>
    <n v="9"/>
    <n v="551.11"/>
    <n v="4959.99"/>
    <n v="0.3"/>
    <n v="1850.33"/>
    <s v="Bank Transfer"/>
    <n v="9"/>
  </r>
  <r>
    <s v="ORD-1969"/>
    <s v="2025-02-07"/>
    <x v="0"/>
    <s v="CUST-157"/>
    <s v="Brianna Lucas"/>
    <x v="2"/>
    <x v="1"/>
    <x v="1"/>
    <x v="15"/>
    <n v="2"/>
    <n v="362.98"/>
    <n v="725.96"/>
    <n v="0.05"/>
    <n v="222.03"/>
    <s v="Bank Transfer"/>
    <n v="2"/>
  </r>
  <r>
    <s v="ORD-1970"/>
    <s v="2025-04-03"/>
    <x v="9"/>
    <s v="CUST-287"/>
    <s v="Bruce Blake"/>
    <x v="1"/>
    <x v="1"/>
    <x v="2"/>
    <x v="13"/>
    <n v="8"/>
    <n v="778.13"/>
    <n v="6225.04"/>
    <n v="0.15"/>
    <n v="2679.25"/>
    <s v="PayPal"/>
    <n v="4"/>
  </r>
  <r>
    <s v="ORD-1971"/>
    <s v="2025-12-26"/>
    <x v="4"/>
    <s v="CUST-289"/>
    <s v="Heather Walter"/>
    <x v="2"/>
    <x v="0"/>
    <x v="2"/>
    <x v="8"/>
    <n v="2"/>
    <n v="394.4"/>
    <n v="788.8"/>
    <n v="0.2"/>
    <n v="224.32"/>
    <s v="PayPal"/>
    <n v="8"/>
  </r>
  <r>
    <s v="ORD-1972"/>
    <s v="2025-06-13"/>
    <x v="2"/>
    <s v="CUST-245"/>
    <s v="Matthew Joseph"/>
    <x v="1"/>
    <x v="1"/>
    <x v="1"/>
    <x v="9"/>
    <n v="3"/>
    <n v="1139.27"/>
    <n v="3417.81"/>
    <n v="0.05"/>
    <n v="954.31"/>
    <s v="Card"/>
    <n v="6"/>
  </r>
  <r>
    <s v="ORD-1973"/>
    <s v="2025-12-17"/>
    <x v="4"/>
    <s v="CUST-208"/>
    <s v="Kathryn Ramos"/>
    <x v="2"/>
    <x v="3"/>
    <x v="2"/>
    <x v="13"/>
    <n v="4"/>
    <n v="83.81"/>
    <n v="335.24"/>
    <n v="0"/>
    <n v="56.64"/>
    <s v="Bank Transfer"/>
    <n v="3"/>
  </r>
  <r>
    <s v="ORD-1974"/>
    <s v="2025-12-31"/>
    <x v="4"/>
    <s v="CUST-215"/>
    <s v="Vanessa Schwartz"/>
    <x v="2"/>
    <x v="2"/>
    <x v="1"/>
    <x v="15"/>
    <n v="2"/>
    <n v="343.21"/>
    <n v="686.42"/>
    <n v="0"/>
    <n v="295.62"/>
    <s v="Bank Transfer"/>
    <n v="5"/>
  </r>
  <r>
    <s v="ORD-1975"/>
    <s v="2025-06-02"/>
    <x v="2"/>
    <s v="CUST-142"/>
    <s v="Selena Wells"/>
    <x v="1"/>
    <x v="3"/>
    <x v="1"/>
    <x v="1"/>
    <n v="2"/>
    <n v="1076.05"/>
    <n v="2152.1"/>
    <n v="0.15"/>
    <n v="755.85"/>
    <s v="PayPal"/>
    <n v="8"/>
  </r>
  <r>
    <s v="ORD-1976"/>
    <s v="2025-12-21"/>
    <x v="4"/>
    <s v="CUST-246"/>
    <s v="Frank Blanchard"/>
    <x v="2"/>
    <x v="0"/>
    <x v="2"/>
    <x v="14"/>
    <n v="3"/>
    <n v="1159.4000000000001"/>
    <n v="3478.2"/>
    <n v="0.15"/>
    <n v="1206.5999999999999"/>
    <s v="Bank Transfer"/>
    <n v="10"/>
  </r>
  <r>
    <s v="ORD-1977"/>
    <s v="2025-06-12"/>
    <x v="2"/>
    <s v="CUST-103"/>
    <s v="Joan Kennedy"/>
    <x v="1"/>
    <x v="1"/>
    <x v="1"/>
    <x v="1"/>
    <n v="10"/>
    <n v="747.48"/>
    <n v="7474.8"/>
    <n v="0.1"/>
    <n v="1913.08"/>
    <s v="Card"/>
    <n v="8"/>
  </r>
  <r>
    <s v="ORD-1978"/>
    <s v="2025-08-19"/>
    <x v="8"/>
    <s v="CUST-132"/>
    <s v="Timothy Harper"/>
    <x v="0"/>
    <x v="1"/>
    <x v="2"/>
    <x v="6"/>
    <n v="7"/>
    <n v="330.11"/>
    <n v="2310.77"/>
    <n v="0.3"/>
    <n v="887.27"/>
    <s v="Bank Transfer"/>
    <n v="10"/>
  </r>
  <r>
    <s v="ORD-1979"/>
    <s v="2025-10-07"/>
    <x v="1"/>
    <s v="CUST-298"/>
    <s v="Travis Parker"/>
    <x v="1"/>
    <x v="1"/>
    <x v="1"/>
    <x v="1"/>
    <n v="4"/>
    <n v="899.93"/>
    <n v="3599.72"/>
    <n v="0.05"/>
    <n v="1306.0999999999999"/>
    <s v="Card"/>
    <n v="6"/>
  </r>
  <r>
    <s v="ORD-1980"/>
    <s v="2025-01-09"/>
    <x v="3"/>
    <s v="CUST-177"/>
    <s v="Teresa Mejia"/>
    <x v="2"/>
    <x v="0"/>
    <x v="1"/>
    <x v="15"/>
    <n v="10"/>
    <n v="1147.02"/>
    <n v="11470.2"/>
    <n v="0.1"/>
    <n v="2317.4299999999998"/>
    <s v="Bank Transfer"/>
    <n v="8"/>
  </r>
  <r>
    <s v="ORD-1981"/>
    <s v="2025-08-07"/>
    <x v="8"/>
    <s v="CUST-233"/>
    <s v="Dr. Deanna Booker DDS"/>
    <x v="2"/>
    <x v="0"/>
    <x v="0"/>
    <x v="7"/>
    <n v="7"/>
    <n v="504.26"/>
    <n v="3529.82"/>
    <n v="0.1"/>
    <n v="694.86"/>
    <s v="Card"/>
    <n v="8"/>
  </r>
  <r>
    <s v="ORD-1982"/>
    <s v="2025-07-15"/>
    <x v="10"/>
    <s v="CUST-172"/>
    <s v="Morgan Perez"/>
    <x v="0"/>
    <x v="1"/>
    <x v="2"/>
    <x v="8"/>
    <n v="3"/>
    <n v="672.25"/>
    <n v="2016.75"/>
    <n v="0.05"/>
    <n v="637.79999999999995"/>
    <s v="Bank Transfer"/>
    <n v="5"/>
  </r>
  <r>
    <s v="ORD-1983"/>
    <s v="2025-01-09"/>
    <x v="3"/>
    <s v="CUST-257"/>
    <s v="Allison Garza"/>
    <x v="2"/>
    <x v="0"/>
    <x v="0"/>
    <x v="5"/>
    <n v="2"/>
    <n v="1194.53"/>
    <n v="2389.06"/>
    <n v="0"/>
    <n v="1228.32"/>
    <s v="PayPal"/>
    <n v="10"/>
  </r>
  <r>
    <s v="ORD-1984"/>
    <s v="2025-08-04"/>
    <x v="8"/>
    <s v="CUST-154"/>
    <s v="Michael Castillo"/>
    <x v="1"/>
    <x v="1"/>
    <x v="0"/>
    <x v="0"/>
    <n v="8"/>
    <n v="613.97"/>
    <n v="4911.76"/>
    <n v="0"/>
    <n v="1389.62"/>
    <s v="Bank Transfer"/>
    <n v="7"/>
  </r>
  <r>
    <s v="ORD-1985"/>
    <s v="2025-08-26"/>
    <x v="8"/>
    <s v="CUST-205"/>
    <s v="Kristina Myers"/>
    <x v="0"/>
    <x v="1"/>
    <x v="1"/>
    <x v="15"/>
    <n v="8"/>
    <n v="1141.6500000000001"/>
    <n v="9133.2000000000007"/>
    <n v="0.1"/>
    <n v="1339.46"/>
    <s v="Card"/>
    <n v="6"/>
  </r>
  <r>
    <s v="ORD-1986"/>
    <s v="2025-08-01"/>
    <x v="8"/>
    <s v="CUST-272"/>
    <s v="Brandon Sims"/>
    <x v="1"/>
    <x v="0"/>
    <x v="1"/>
    <x v="9"/>
    <n v="5"/>
    <n v="335.78"/>
    <n v="1678.9"/>
    <n v="0.3"/>
    <n v="522.04"/>
    <s v="PayPal"/>
    <n v="1"/>
  </r>
  <r>
    <s v="ORD-1987"/>
    <s v="2025-11-04"/>
    <x v="6"/>
    <s v="CUST-181"/>
    <s v="Adam Jordan"/>
    <x v="2"/>
    <x v="2"/>
    <x v="1"/>
    <x v="1"/>
    <n v="3"/>
    <n v="952.8"/>
    <n v="2858.4"/>
    <n v="0.2"/>
    <n v="507.62"/>
    <s v="Bank Transfer"/>
    <n v="7"/>
  </r>
  <r>
    <s v="ORD-1988"/>
    <s v="2025-01-27"/>
    <x v="3"/>
    <s v="CUST-247"/>
    <s v="Warren Brown"/>
    <x v="2"/>
    <x v="2"/>
    <x v="1"/>
    <x v="9"/>
    <n v="7"/>
    <n v="247.34"/>
    <n v="1731.38"/>
    <n v="0.3"/>
    <n v="475.91"/>
    <s v="Bank Transfer"/>
    <n v="7"/>
  </r>
  <r>
    <s v="ORD-1989"/>
    <s v="2025-04-29"/>
    <x v="9"/>
    <s v="CUST-125"/>
    <s v="Michael Hernandez"/>
    <x v="0"/>
    <x v="2"/>
    <x v="0"/>
    <x v="10"/>
    <n v="7"/>
    <n v="1086.92"/>
    <n v="7608.44"/>
    <n v="0.2"/>
    <n v="2961.95"/>
    <s v="Bank Transfer"/>
    <n v="2"/>
  </r>
  <r>
    <s v="ORD-1990"/>
    <s v="2025-10-11"/>
    <x v="1"/>
    <s v="CUST-140"/>
    <s v="Jody Ford"/>
    <x v="2"/>
    <x v="2"/>
    <x v="0"/>
    <x v="5"/>
    <n v="7"/>
    <n v="1014.78"/>
    <n v="7103.46"/>
    <n v="0.3"/>
    <n v="911.61"/>
    <s v="Card"/>
    <n v="2"/>
  </r>
  <r>
    <s v="ORD-1991"/>
    <s v="2025-11-13"/>
    <x v="6"/>
    <s v="CUST-281"/>
    <s v="Kelly Singleton"/>
    <x v="0"/>
    <x v="0"/>
    <x v="1"/>
    <x v="3"/>
    <n v="1"/>
    <n v="762.1"/>
    <n v="762.1"/>
    <n v="0.2"/>
    <n v="298"/>
    <s v="Bank Transfer"/>
    <n v="7"/>
  </r>
  <r>
    <s v="ORD-1992"/>
    <s v="2025-07-03"/>
    <x v="10"/>
    <s v="CUST-147"/>
    <s v="Stacey Acosta PhD"/>
    <x v="1"/>
    <x v="2"/>
    <x v="1"/>
    <x v="4"/>
    <n v="3"/>
    <n v="1180.43"/>
    <n v="3541.29"/>
    <n v="0.3"/>
    <n v="737.22"/>
    <s v="PayPal"/>
    <n v="4"/>
  </r>
  <r>
    <s v="ORD-1993"/>
    <s v="2025-02-12"/>
    <x v="0"/>
    <s v="CUST-136"/>
    <s v="Laurie Davila"/>
    <x v="0"/>
    <x v="0"/>
    <x v="0"/>
    <x v="10"/>
    <n v="7"/>
    <n v="929.06"/>
    <n v="6503.42"/>
    <n v="0.3"/>
    <n v="2409.58"/>
    <s v="Bank Transfer"/>
    <n v="10"/>
  </r>
  <r>
    <s v="ORD-1994"/>
    <s v="2025-05-25"/>
    <x v="7"/>
    <s v="CUST-167"/>
    <s v="Mrs. Mary Martin MD"/>
    <x v="1"/>
    <x v="0"/>
    <x v="1"/>
    <x v="1"/>
    <n v="8"/>
    <n v="1114.0899999999999"/>
    <n v="8912.7199999999993"/>
    <n v="0"/>
    <n v="4520.26"/>
    <s v="Card"/>
    <n v="8"/>
  </r>
  <r>
    <s v="ORD-1995"/>
    <s v="2025-09-07"/>
    <x v="11"/>
    <s v="CUST-260"/>
    <s v="Sarah Meyer"/>
    <x v="1"/>
    <x v="2"/>
    <x v="2"/>
    <x v="12"/>
    <n v="7"/>
    <n v="138.79"/>
    <n v="971.53"/>
    <n v="0"/>
    <n v="373.56"/>
    <s v="Bank Transfer"/>
    <n v="7"/>
  </r>
  <r>
    <s v="ORD-1996"/>
    <s v="2025-04-02"/>
    <x v="9"/>
    <s v="CUST-268"/>
    <s v="Joanne Thompson"/>
    <x v="0"/>
    <x v="0"/>
    <x v="2"/>
    <x v="8"/>
    <n v="8"/>
    <n v="974.09"/>
    <n v="7792.72"/>
    <n v="0.05"/>
    <n v="3187.01"/>
    <s v="Card"/>
    <n v="6"/>
  </r>
  <r>
    <s v="ORD-1997"/>
    <s v="2025-05-11"/>
    <x v="7"/>
    <s v="CUST-131"/>
    <s v="Michael Jennings"/>
    <x v="1"/>
    <x v="0"/>
    <x v="2"/>
    <x v="13"/>
    <n v="10"/>
    <n v="727.99"/>
    <n v="7279.9"/>
    <n v="0"/>
    <n v="3542.72"/>
    <s v="Bank Transfer"/>
    <n v="1"/>
  </r>
  <r>
    <s v="ORD-1998"/>
    <s v="2025-04-22"/>
    <x v="9"/>
    <s v="CUST-107"/>
    <s v="Frank Robinson"/>
    <x v="2"/>
    <x v="2"/>
    <x v="0"/>
    <x v="5"/>
    <n v="3"/>
    <n v="275.24"/>
    <n v="825.72"/>
    <n v="0.1"/>
    <n v="374.61"/>
    <s v="Card"/>
    <n v="2"/>
  </r>
  <r>
    <s v="ORD-1999"/>
    <s v="2025-06-28"/>
    <x v="2"/>
    <s v="CUST-281"/>
    <s v="Donna Young"/>
    <x v="0"/>
    <x v="3"/>
    <x v="0"/>
    <x v="10"/>
    <n v="5"/>
    <n v="342.93"/>
    <n v="1714.65"/>
    <n v="0.05"/>
    <n v="274.81"/>
    <s v="PayPal"/>
    <n v="8"/>
  </r>
  <r>
    <s v="ORD-2000"/>
    <s v="2025-12-18"/>
    <x v="4"/>
    <s v="CUST-283"/>
    <s v="George Gomez"/>
    <x v="2"/>
    <x v="1"/>
    <x v="2"/>
    <x v="14"/>
    <n v="7"/>
    <n v="1108.3699999999999"/>
    <n v="7758.59"/>
    <n v="0.1"/>
    <n v="3357.41"/>
    <s v="Card"/>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F1ACD1-A8BE-4D90-8A82-865991A05EE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Top Products by Sales">
  <location ref="A40:B46" firstHeaderRow="1" firstDataRow="1" firstDataCol="1"/>
  <pivotFields count="16">
    <pivotField showAll="0"/>
    <pivotField showAll="0"/>
    <pivotField showAll="0"/>
    <pivotField showAll="0"/>
    <pivotField showAll="0"/>
    <pivotField showAll="0">
      <items count="4">
        <item x="1"/>
        <item x="2"/>
        <item x="0"/>
        <item t="default"/>
      </items>
    </pivotField>
    <pivotField showAll="0">
      <items count="5">
        <item x="3"/>
        <item x="0"/>
        <item x="2"/>
        <item x="1"/>
        <item t="default"/>
      </items>
    </pivotField>
    <pivotField showAll="0">
      <items count="4">
        <item x="2"/>
        <item x="0"/>
        <item x="1"/>
        <item t="default"/>
      </items>
    </pivotField>
    <pivotField axis="axisRow" showAll="0" measureFilter="1" sortType="ascending">
      <items count="17">
        <item x="8"/>
        <item x="13"/>
        <item x="14"/>
        <item x="12"/>
        <item x="11"/>
        <item x="1"/>
        <item x="5"/>
        <item x="15"/>
        <item x="3"/>
        <item x="0"/>
        <item x="6"/>
        <item x="2"/>
        <item x="10"/>
        <item x="4"/>
        <item x="7"/>
        <item x="9"/>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4" showAll="0"/>
    <pivotField showAll="0"/>
    <pivotField numFmtId="164" showAll="0"/>
    <pivotField showAll="0"/>
    <pivotField showAll="0"/>
  </pivotFields>
  <rowFields count="1">
    <field x="8"/>
  </rowFields>
  <rowItems count="6">
    <i>
      <x v="9"/>
    </i>
    <i>
      <x v="14"/>
    </i>
    <i>
      <x v="1"/>
    </i>
    <i>
      <x v="11"/>
    </i>
    <i>
      <x v="12"/>
    </i>
    <i t="grand">
      <x/>
    </i>
  </rowItems>
  <colItems count="1">
    <i/>
  </colItems>
  <dataFields count="1">
    <dataField name="Sum of Sales" fld="11" baseField="0" baseItem="0" numFmtId="165"/>
  </dataFields>
  <formats count="1">
    <format dxfId="0">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05715C-B57B-4588-A465-36B4AF0B239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fit By Region">
  <location ref="A30:B35" firstHeaderRow="1" firstDataRow="1" firstDataCol="1"/>
  <pivotFields count="16">
    <pivotField showAll="0"/>
    <pivotField showAll="0"/>
    <pivotField showAll="0"/>
    <pivotField showAll="0"/>
    <pivotField showAll="0"/>
    <pivotField showAll="0">
      <items count="4">
        <item x="1"/>
        <item x="2"/>
        <item x="0"/>
        <item t="default"/>
      </items>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numFmtId="164" showAll="0"/>
    <pivotField numFmtId="164" showAll="0"/>
    <pivotField showAll="0"/>
    <pivotField dataField="1" numFmtId="164" showAll="0"/>
    <pivotField showAll="0"/>
    <pivotField showAll="0"/>
  </pivotFields>
  <rowFields count="1">
    <field x="6"/>
  </rowFields>
  <rowItems count="5">
    <i>
      <x v="3"/>
    </i>
    <i>
      <x v="1"/>
    </i>
    <i>
      <x/>
    </i>
    <i>
      <x v="2"/>
    </i>
    <i t="grand">
      <x/>
    </i>
  </rowItems>
  <colItems count="1">
    <i/>
  </colItems>
  <dataFields count="1">
    <dataField name="Sum of Profit" fld="13" baseField="0" baseItem="0" numFmtId="165"/>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BD4D34-EA74-4F52-B481-FD9D97D2083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ly Sales Trend">
  <location ref="A12:B25" firstHeaderRow="1" firstDataRow="1" firstDataCol="1"/>
  <pivotFields count="16">
    <pivotField showAll="0"/>
    <pivotField showAll="0"/>
    <pivotField axis="axisRow" showAll="0" sortType="ascending">
      <items count="13">
        <item x="3"/>
        <item x="0"/>
        <item x="5"/>
        <item x="9"/>
        <item x="7"/>
        <item x="2"/>
        <item x="10"/>
        <item x="8"/>
        <item x="11"/>
        <item x="1"/>
        <item x="6"/>
        <item x="4"/>
        <item t="default"/>
      </items>
    </pivotField>
    <pivotField showAll="0"/>
    <pivotField showAll="0"/>
    <pivotField showAll="0">
      <items count="4">
        <item x="1"/>
        <item x="2"/>
        <item x="0"/>
        <item t="default"/>
      </items>
    </pivotField>
    <pivotField showAll="0">
      <items count="5">
        <item x="3"/>
        <item x="0"/>
        <item x="2"/>
        <item x="1"/>
        <item t="default"/>
      </items>
    </pivotField>
    <pivotField showAll="0">
      <items count="4">
        <item x="2"/>
        <item x="0"/>
        <item x="1"/>
        <item t="default"/>
      </items>
    </pivotField>
    <pivotField showAll="0"/>
    <pivotField showAll="0"/>
    <pivotField numFmtId="164" showAll="0"/>
    <pivotField dataField="1" numFmtId="164" showAll="0"/>
    <pivotField showAll="0"/>
    <pivotField numFmtId="164"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11" baseField="0" baseItem="0" numFmtId="165"/>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ADF1D1-ADB5-424E-8988-E9A397FEDBE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Category by Sales">
  <location ref="A3:B7" firstHeaderRow="1" firstDataRow="1" firstDataCol="1"/>
  <pivotFields count="16">
    <pivotField showAll="0"/>
    <pivotField showAll="0"/>
    <pivotField showAll="0"/>
    <pivotField showAll="0"/>
    <pivotField showAll="0"/>
    <pivotField showAll="0">
      <items count="4">
        <item x="1"/>
        <item x="2"/>
        <item x="0"/>
        <item t="default"/>
      </items>
    </pivotField>
    <pivotField showAll="0">
      <items count="5">
        <item x="3"/>
        <item x="0"/>
        <item x="2"/>
        <item x="1"/>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numFmtId="164" showAll="0"/>
    <pivotField showAll="0"/>
    <pivotField numFmtId="164" showAll="0"/>
    <pivotField showAll="0"/>
    <pivotField showAll="0"/>
  </pivotFields>
  <rowFields count="1">
    <field x="7"/>
  </rowFields>
  <rowItems count="4">
    <i>
      <x v="1"/>
    </i>
    <i>
      <x v="2"/>
    </i>
    <i>
      <x/>
    </i>
    <i t="grand">
      <x/>
    </i>
  </rowItems>
  <colItems count="1">
    <i/>
  </colItems>
  <dataFields count="1">
    <dataField name="Sum of Sales" fld="11" baseField="0" baseItem="0" numFmtId="165"/>
  </dataFields>
  <formats count="6">
    <format dxfId="8">
      <pivotArea dataOnly="0" labelOnly="1" outline="0" axis="axisValues" fieldPosition="0"/>
    </format>
    <format dxfId="7">
      <pivotArea collapsedLevelsAreSubtotals="1" fieldPosition="0">
        <references count="1">
          <reference field="7" count="1">
            <x v="1"/>
          </reference>
        </references>
      </pivotArea>
    </format>
    <format dxfId="6">
      <pivotArea collapsedLevelsAreSubtotals="1" fieldPosition="0">
        <references count="1">
          <reference field="7" count="1">
            <x v="2"/>
          </reference>
        </references>
      </pivotArea>
    </format>
    <format dxfId="5">
      <pivotArea collapsedLevelsAreSubtotals="1" fieldPosition="0">
        <references count="1">
          <reference field="7" count="1">
            <x v="0"/>
          </reference>
        </references>
      </pivotArea>
    </format>
    <format dxfId="4">
      <pivotArea grandRow="1" outline="0" collapsedLevelsAreSubtotals="1" fieldPosition="0"/>
    </format>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122B3E5-BA83-4B64-9C5A-F403952D14C5}" sourceName="Customer_Segment">
  <pivotTables>
    <pivotTable tabId="5" name="PivotTable1"/>
    <pivotTable tabId="5" name="PivotTable3"/>
    <pivotTable tabId="5" name="PivotTable4"/>
    <pivotTable tabId="5" name="PivotTable5"/>
  </pivotTables>
  <data>
    <tabular pivotCacheId="2017331208">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CF6693-017D-4772-A23D-431F81BE05B6}" sourceName="Region">
  <pivotTables>
    <pivotTable tabId="5" name="PivotTable1"/>
    <pivotTable tabId="5" name="PivotTable3"/>
    <pivotTable tabId="5" name="PivotTable4"/>
    <pivotTable tabId="5" name="PivotTable5"/>
  </pivotTables>
  <data>
    <tabular pivotCacheId="2017331208">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47559F3-8406-4A15-BBA7-5E4E801DD6DB}" sourceName="Category">
  <pivotTables>
    <pivotTable tabId="5" name="PivotTable1"/>
    <pivotTable tabId="5" name="PivotTable3"/>
    <pivotTable tabId="5" name="PivotTable4"/>
    <pivotTable tabId="5" name="PivotTable5"/>
  </pivotTables>
  <data>
    <tabular pivotCacheId="201733120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D0BC0564-7127-4301-9AFE-4183EA5BDAB7}" cache="Slicer_Customer_Segment" caption="Customer_Segment" rowHeight="241300"/>
  <slicer name="Region" xr10:uid="{40ED0C5E-D063-421F-BF33-7BEB756C9F7C}" cache="Slicer_Region" caption="Region" rowHeight="241300"/>
  <slicer name="Category" xr10:uid="{14363AD8-FA21-401A-A732-0AFF8DEF1BA9}"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1" xr10:uid="{F4C898F4-76EF-454E-ADF7-64D676188BE0}" cache="Slicer_Customer_Segment" caption="Customer_Segment" style="SlicerStyleLight3" rowHeight="241300"/>
  <slicer name="Region 1" xr10:uid="{57DB6FAF-C653-43D4-90E8-48FD35479AA4}" cache="Slicer_Region" caption="Region" style="SlicerStyleLight3" rowHeight="241300"/>
  <slicer name="Category 1" xr10:uid="{221A0A34-5D32-4060-9302-554910B87564}" cache="Slicer_Category" caption="Category"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83798-3504-4CB3-BDE6-8E8464BD2B60}">
  <dimension ref="A3:B47"/>
  <sheetViews>
    <sheetView topLeftCell="A28" zoomScale="98" workbookViewId="0">
      <selection activeCell="I39" sqref="I39"/>
    </sheetView>
  </sheetViews>
  <sheetFormatPr defaultRowHeight="14.5" x14ac:dyDescent="0.35"/>
  <cols>
    <col min="1" max="1" width="21.90625" bestFit="1" customWidth="1"/>
    <col min="2" max="2" width="11.54296875" bestFit="1" customWidth="1"/>
  </cols>
  <sheetData>
    <row r="3" spans="1:2" x14ac:dyDescent="0.35">
      <c r="A3" s="7" t="s">
        <v>2632</v>
      </c>
      <c r="B3" s="12" t="s">
        <v>2614</v>
      </c>
    </row>
    <row r="4" spans="1:2" x14ac:dyDescent="0.35">
      <c r="A4" s="8" t="s">
        <v>21</v>
      </c>
      <c r="B4" s="13">
        <v>1166187.0499999996</v>
      </c>
    </row>
    <row r="5" spans="1:2" x14ac:dyDescent="0.35">
      <c r="A5" s="8" t="s">
        <v>29</v>
      </c>
      <c r="B5" s="13">
        <v>1137321.2499999998</v>
      </c>
    </row>
    <row r="6" spans="1:2" x14ac:dyDescent="0.35">
      <c r="A6" s="8" t="s">
        <v>76</v>
      </c>
      <c r="B6" s="13">
        <v>1034504.3699999996</v>
      </c>
    </row>
    <row r="7" spans="1:2" x14ac:dyDescent="0.35">
      <c r="A7" s="8" t="s">
        <v>2613</v>
      </c>
      <c r="B7" s="13">
        <v>3338012.669999999</v>
      </c>
    </row>
    <row r="8" spans="1:2" x14ac:dyDescent="0.35">
      <c r="B8" s="13"/>
    </row>
    <row r="12" spans="1:2" x14ac:dyDescent="0.35">
      <c r="A12" s="7" t="s">
        <v>2628</v>
      </c>
      <c r="B12" t="s">
        <v>2614</v>
      </c>
    </row>
    <row r="13" spans="1:2" x14ac:dyDescent="0.35">
      <c r="A13" s="8" t="s">
        <v>2616</v>
      </c>
      <c r="B13" s="13">
        <v>263914.72000000003</v>
      </c>
    </row>
    <row r="14" spans="1:2" x14ac:dyDescent="0.35">
      <c r="A14" s="8" t="s">
        <v>2617</v>
      </c>
      <c r="B14" s="13">
        <v>244175.76</v>
      </c>
    </row>
    <row r="15" spans="1:2" x14ac:dyDescent="0.35">
      <c r="A15" s="8" t="s">
        <v>2618</v>
      </c>
      <c r="B15" s="13">
        <v>272204.48999999987</v>
      </c>
    </row>
    <row r="16" spans="1:2" x14ac:dyDescent="0.35">
      <c r="A16" s="8" t="s">
        <v>2619</v>
      </c>
      <c r="B16" s="13">
        <v>307549.58999999985</v>
      </c>
    </row>
    <row r="17" spans="1:2" x14ac:dyDescent="0.35">
      <c r="A17" s="8" t="s">
        <v>2620</v>
      </c>
      <c r="B17" s="13">
        <v>229997.17</v>
      </c>
    </row>
    <row r="18" spans="1:2" x14ac:dyDescent="0.35">
      <c r="A18" s="8" t="s">
        <v>2621</v>
      </c>
      <c r="B18" s="13">
        <v>335516.89000000007</v>
      </c>
    </row>
    <row r="19" spans="1:2" x14ac:dyDescent="0.35">
      <c r="A19" s="8" t="s">
        <v>2622</v>
      </c>
      <c r="B19" s="13">
        <v>304087.67999999999</v>
      </c>
    </row>
    <row r="20" spans="1:2" x14ac:dyDescent="0.35">
      <c r="A20" s="8" t="s">
        <v>2623</v>
      </c>
      <c r="B20" s="13">
        <v>270511.84999999992</v>
      </c>
    </row>
    <row r="21" spans="1:2" x14ac:dyDescent="0.35">
      <c r="A21" s="8" t="s">
        <v>2624</v>
      </c>
      <c r="B21" s="13">
        <v>260970.29999999996</v>
      </c>
    </row>
    <row r="22" spans="1:2" x14ac:dyDescent="0.35">
      <c r="A22" s="8" t="s">
        <v>2625</v>
      </c>
      <c r="B22" s="13">
        <v>340837.19999999995</v>
      </c>
    </row>
    <row r="23" spans="1:2" x14ac:dyDescent="0.35">
      <c r="A23" s="8" t="s">
        <v>2626</v>
      </c>
      <c r="B23" s="13">
        <v>207266.2</v>
      </c>
    </row>
    <row r="24" spans="1:2" x14ac:dyDescent="0.35">
      <c r="A24" s="8" t="s">
        <v>2627</v>
      </c>
      <c r="B24" s="13">
        <v>300980.82000000007</v>
      </c>
    </row>
    <row r="25" spans="1:2" x14ac:dyDescent="0.35">
      <c r="A25" s="8" t="s">
        <v>2613</v>
      </c>
      <c r="B25" s="13">
        <v>3338012.67</v>
      </c>
    </row>
    <row r="30" spans="1:2" x14ac:dyDescent="0.35">
      <c r="A30" s="7" t="s">
        <v>2630</v>
      </c>
      <c r="B30" t="s">
        <v>2629</v>
      </c>
    </row>
    <row r="31" spans="1:2" x14ac:dyDescent="0.35">
      <c r="A31" s="8" t="s">
        <v>28</v>
      </c>
      <c r="B31" s="13">
        <v>293207.87</v>
      </c>
    </row>
    <row r="32" spans="1:2" x14ac:dyDescent="0.35">
      <c r="A32" s="8" t="s">
        <v>20</v>
      </c>
      <c r="B32" s="13">
        <v>287555.16999999981</v>
      </c>
    </row>
    <row r="33" spans="1:2" x14ac:dyDescent="0.35">
      <c r="A33" s="8" t="s">
        <v>57</v>
      </c>
      <c r="B33" s="13">
        <v>224131.96000000002</v>
      </c>
    </row>
    <row r="34" spans="1:2" x14ac:dyDescent="0.35">
      <c r="A34" s="8" t="s">
        <v>37</v>
      </c>
      <c r="B34" s="13">
        <v>222750.45999999996</v>
      </c>
    </row>
    <row r="35" spans="1:2" x14ac:dyDescent="0.35">
      <c r="A35" s="8" t="s">
        <v>2613</v>
      </c>
      <c r="B35" s="13">
        <v>1027645.4599999998</v>
      </c>
    </row>
    <row r="40" spans="1:2" x14ac:dyDescent="0.35">
      <c r="A40" s="7" t="s">
        <v>2631</v>
      </c>
      <c r="B40" t="s">
        <v>2614</v>
      </c>
    </row>
    <row r="41" spans="1:2" x14ac:dyDescent="0.35">
      <c r="A41" s="8" t="s">
        <v>22</v>
      </c>
      <c r="B41" s="13">
        <v>230381.75999999995</v>
      </c>
    </row>
    <row r="42" spans="1:2" x14ac:dyDescent="0.35">
      <c r="A42" s="8" t="s">
        <v>82</v>
      </c>
      <c r="B42" s="13">
        <v>230903.60000000006</v>
      </c>
    </row>
    <row r="43" spans="1:2" x14ac:dyDescent="0.35">
      <c r="A43" s="8" t="s">
        <v>128</v>
      </c>
      <c r="B43" s="13">
        <v>249914.97999999998</v>
      </c>
    </row>
    <row r="44" spans="1:2" x14ac:dyDescent="0.35">
      <c r="A44" s="8" t="s">
        <v>38</v>
      </c>
      <c r="B44" s="13">
        <v>249984.65999999997</v>
      </c>
    </row>
    <row r="45" spans="1:2" x14ac:dyDescent="0.35">
      <c r="A45" s="8" t="s">
        <v>105</v>
      </c>
      <c r="B45" s="13">
        <v>258206.90999999997</v>
      </c>
    </row>
    <row r="46" spans="1:2" x14ac:dyDescent="0.35">
      <c r="A46" s="8" t="s">
        <v>2613</v>
      </c>
      <c r="B46" s="13">
        <v>1219391.9099999999</v>
      </c>
    </row>
    <row r="47" spans="1:2" x14ac:dyDescent="0.35">
      <c r="B47" s="13"/>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D3B44-690F-46E1-83E0-7061105ADD39}">
  <dimension ref="A1:R63"/>
  <sheetViews>
    <sheetView showGridLines="0" tabSelected="1" topLeftCell="A11" zoomScale="47" zoomScaleNormal="28" workbookViewId="0">
      <selection activeCell="K10" sqref="K10:M12"/>
    </sheetView>
  </sheetViews>
  <sheetFormatPr defaultRowHeight="14.5" x14ac:dyDescent="0.35"/>
  <cols>
    <col min="1" max="1" width="13.6328125" bestFit="1" customWidth="1"/>
    <col min="8" max="8" width="9.08984375" customWidth="1"/>
    <col min="13" max="13" width="8.7265625" customWidth="1"/>
  </cols>
  <sheetData>
    <row r="1" spans="1:18" ht="14.5" customHeight="1" x14ac:dyDescent="0.35">
      <c r="A1" s="34" t="s">
        <v>2633</v>
      </c>
      <c r="B1" s="35"/>
      <c r="C1" s="35"/>
      <c r="D1" s="35"/>
      <c r="E1" s="35"/>
      <c r="F1" s="35"/>
      <c r="G1" s="35"/>
      <c r="H1" s="35"/>
      <c r="I1" s="35"/>
      <c r="J1" s="35"/>
      <c r="K1" s="35"/>
      <c r="L1" s="35"/>
      <c r="M1" s="35"/>
      <c r="N1" s="35"/>
      <c r="O1" s="35"/>
      <c r="P1" s="35"/>
      <c r="Q1" s="35"/>
      <c r="R1" s="35"/>
    </row>
    <row r="2" spans="1:18" ht="14.5" customHeight="1" x14ac:dyDescent="0.35">
      <c r="A2" s="35"/>
      <c r="B2" s="35"/>
      <c r="C2" s="35"/>
      <c r="D2" s="35"/>
      <c r="E2" s="35"/>
      <c r="F2" s="35"/>
      <c r="G2" s="35"/>
      <c r="H2" s="35"/>
      <c r="I2" s="35"/>
      <c r="J2" s="35"/>
      <c r="K2" s="35"/>
      <c r="L2" s="35"/>
      <c r="M2" s="35"/>
      <c r="N2" s="35"/>
      <c r="O2" s="35"/>
      <c r="P2" s="35"/>
      <c r="Q2" s="35"/>
      <c r="R2" s="35"/>
    </row>
    <row r="3" spans="1:18" x14ac:dyDescent="0.35">
      <c r="A3" s="35"/>
      <c r="B3" s="35"/>
      <c r="C3" s="35"/>
      <c r="D3" s="35"/>
      <c r="E3" s="35"/>
      <c r="F3" s="35"/>
      <c r="G3" s="35"/>
      <c r="H3" s="35"/>
      <c r="I3" s="35"/>
      <c r="J3" s="35"/>
      <c r="K3" s="35"/>
      <c r="L3" s="35"/>
      <c r="M3" s="35"/>
      <c r="N3" s="35"/>
      <c r="O3" s="35"/>
      <c r="P3" s="35"/>
      <c r="Q3" s="35"/>
      <c r="R3" s="35"/>
    </row>
    <row r="4" spans="1:18" ht="14.5" customHeight="1" x14ac:dyDescent="0.35">
      <c r="A4" s="36" t="s">
        <v>2634</v>
      </c>
      <c r="B4" s="36"/>
      <c r="C4" s="36"/>
      <c r="D4" s="36"/>
      <c r="E4" s="36"/>
      <c r="F4" s="36"/>
      <c r="G4" s="36"/>
      <c r="H4" s="36"/>
      <c r="I4" s="36"/>
      <c r="J4" s="36"/>
      <c r="K4" s="36"/>
      <c r="L4" s="36"/>
      <c r="M4" s="36"/>
      <c r="N4" s="36"/>
      <c r="O4" s="36"/>
      <c r="P4" s="36"/>
      <c r="Q4" s="36"/>
      <c r="R4" s="36"/>
    </row>
    <row r="5" spans="1:18" ht="14.5" customHeight="1" x14ac:dyDescent="0.35">
      <c r="A5" s="14"/>
      <c r="B5" s="14"/>
      <c r="C5" s="15"/>
      <c r="D5" s="15"/>
      <c r="E5" s="15"/>
      <c r="F5" s="15"/>
      <c r="G5" s="15"/>
      <c r="H5" s="15"/>
      <c r="I5" s="15"/>
      <c r="J5" s="15"/>
    </row>
    <row r="6" spans="1:18" ht="14.5" customHeight="1" x14ac:dyDescent="0.35">
      <c r="A6" s="16"/>
      <c r="B6" s="16"/>
      <c r="C6" s="16"/>
      <c r="D6" s="16"/>
      <c r="E6" s="17"/>
      <c r="F6" s="17"/>
      <c r="G6" s="16"/>
      <c r="H6" s="16"/>
      <c r="I6" s="18"/>
      <c r="J6" s="18"/>
    </row>
    <row r="7" spans="1:18" ht="14.5" customHeight="1" x14ac:dyDescent="0.35">
      <c r="A7" s="16"/>
      <c r="B7" s="37" t="s">
        <v>2635</v>
      </c>
      <c r="C7" s="29"/>
      <c r="D7" s="29"/>
      <c r="E7" s="38" t="s">
        <v>2636</v>
      </c>
      <c r="F7" s="28"/>
      <c r="G7" s="28"/>
      <c r="H7" s="37" t="s">
        <v>2637</v>
      </c>
      <c r="I7" s="29"/>
      <c r="J7" s="29"/>
      <c r="K7" s="33" t="s">
        <v>2611</v>
      </c>
      <c r="L7" s="28"/>
      <c r="M7" s="28"/>
      <c r="N7" s="39" t="s">
        <v>2638</v>
      </c>
      <c r="O7" s="22"/>
      <c r="P7" s="22"/>
    </row>
    <row r="8" spans="1:18" ht="14.5" customHeight="1" x14ac:dyDescent="0.35">
      <c r="B8" s="29"/>
      <c r="C8" s="29"/>
      <c r="D8" s="29"/>
      <c r="E8" s="28"/>
      <c r="F8" s="28"/>
      <c r="G8" s="28"/>
      <c r="H8" s="29"/>
      <c r="I8" s="29"/>
      <c r="J8" s="29"/>
      <c r="K8" s="28"/>
      <c r="L8" s="28"/>
      <c r="M8" s="28"/>
      <c r="N8" s="22"/>
      <c r="O8" s="22"/>
      <c r="P8" s="22"/>
    </row>
    <row r="9" spans="1:18" ht="14.5" customHeight="1" x14ac:dyDescent="0.35">
      <c r="B9" s="29"/>
      <c r="C9" s="29"/>
      <c r="D9" s="29"/>
      <c r="E9" s="28"/>
      <c r="F9" s="28"/>
      <c r="G9" s="28"/>
      <c r="H9" s="29"/>
      <c r="I9" s="29"/>
      <c r="J9" s="29"/>
      <c r="K9" s="28"/>
      <c r="L9" s="28"/>
      <c r="M9" s="28"/>
      <c r="N9" s="22"/>
      <c r="O9" s="22"/>
      <c r="P9" s="22"/>
    </row>
    <row r="10" spans="1:18" ht="14.5" customHeight="1" x14ac:dyDescent="0.35">
      <c r="B10" s="30">
        <f>SUM(Sales_Data!L2:L1001)</f>
        <v>3338012.6699999985</v>
      </c>
      <c r="C10" s="30"/>
      <c r="D10" s="30"/>
      <c r="E10" s="31">
        <f>SUM(Sales_Data!N2:N1001)</f>
        <v>1027645.460000001</v>
      </c>
      <c r="F10" s="31"/>
      <c r="G10" s="31"/>
      <c r="H10" s="32">
        <f>COUNTA(Sales_Data!A2:A1001)</f>
        <v>1000</v>
      </c>
      <c r="I10" s="32"/>
      <c r="J10" s="32"/>
      <c r="K10" s="31">
        <f>KPIs!A2/KPIs!C2</f>
        <v>3338.0126699999987</v>
      </c>
      <c r="L10" s="31"/>
      <c r="M10" s="31"/>
      <c r="N10" s="23">
        <f>KPIs!E2</f>
        <v>0.30786146177210327</v>
      </c>
      <c r="O10" s="24"/>
      <c r="P10" s="24"/>
    </row>
    <row r="11" spans="1:18" ht="14.5" customHeight="1" x14ac:dyDescent="0.35">
      <c r="B11" s="30"/>
      <c r="C11" s="30"/>
      <c r="D11" s="30"/>
      <c r="E11" s="31"/>
      <c r="F11" s="31"/>
      <c r="G11" s="31"/>
      <c r="H11" s="32"/>
      <c r="I11" s="32"/>
      <c r="J11" s="32"/>
      <c r="K11" s="31"/>
      <c r="L11" s="31"/>
      <c r="M11" s="31"/>
      <c r="N11" s="24"/>
      <c r="O11" s="24"/>
      <c r="P11" s="24"/>
    </row>
    <row r="12" spans="1:18" ht="14.5" customHeight="1" x14ac:dyDescent="0.35">
      <c r="B12" s="30"/>
      <c r="C12" s="30"/>
      <c r="D12" s="30"/>
      <c r="E12" s="31"/>
      <c r="F12" s="31"/>
      <c r="G12" s="31"/>
      <c r="H12" s="32"/>
      <c r="I12" s="32"/>
      <c r="J12" s="32"/>
      <c r="K12" s="31"/>
      <c r="L12" s="31"/>
      <c r="M12" s="31"/>
      <c r="N12" s="24"/>
      <c r="O12" s="24"/>
      <c r="P12" s="24"/>
    </row>
    <row r="13" spans="1:18" ht="14.5" customHeight="1" x14ac:dyDescent="0.35">
      <c r="B13" s="16"/>
      <c r="C13" s="16"/>
      <c r="D13" s="16"/>
    </row>
    <row r="34" spans="2:16" ht="14.5" customHeight="1" x14ac:dyDescent="0.35">
      <c r="B34" s="25"/>
      <c r="C34" s="25"/>
      <c r="D34" s="25"/>
      <c r="E34" s="25"/>
      <c r="F34" s="25"/>
      <c r="G34" s="25"/>
      <c r="H34" s="25"/>
      <c r="J34" s="25"/>
      <c r="K34" s="25"/>
      <c r="L34" s="25"/>
      <c r="M34" s="25"/>
      <c r="N34" s="25"/>
      <c r="O34" s="25"/>
      <c r="P34" s="25"/>
    </row>
    <row r="35" spans="2:16" ht="14.5" customHeight="1" x14ac:dyDescent="0.35">
      <c r="B35" s="25"/>
      <c r="C35" s="25"/>
      <c r="D35" s="25"/>
      <c r="E35" s="25"/>
      <c r="F35" s="25"/>
      <c r="G35" s="25"/>
      <c r="H35" s="25"/>
      <c r="J35" s="25"/>
      <c r="K35" s="25"/>
      <c r="L35" s="25"/>
      <c r="M35" s="25"/>
      <c r="N35" s="25"/>
      <c r="O35" s="25"/>
      <c r="P35" s="25"/>
    </row>
    <row r="36" spans="2:16" ht="14.5" customHeight="1" x14ac:dyDescent="0.35">
      <c r="B36" s="25"/>
      <c r="C36" s="25"/>
      <c r="D36" s="25"/>
      <c r="E36" s="25"/>
      <c r="F36" s="25"/>
      <c r="G36" s="25"/>
      <c r="H36" s="25"/>
      <c r="J36" s="25"/>
      <c r="K36" s="25"/>
      <c r="L36" s="25"/>
      <c r="M36" s="25"/>
      <c r="N36" s="25"/>
      <c r="O36" s="25"/>
      <c r="P36" s="25"/>
    </row>
    <row r="37" spans="2:16" ht="14.5" customHeight="1" x14ac:dyDescent="0.35">
      <c r="B37" s="25"/>
      <c r="C37" s="25"/>
      <c r="D37" s="25"/>
      <c r="E37" s="25"/>
      <c r="F37" s="25"/>
      <c r="G37" s="25"/>
      <c r="H37" s="25"/>
      <c r="J37" s="25"/>
      <c r="K37" s="25"/>
      <c r="L37" s="25"/>
      <c r="M37" s="25"/>
      <c r="N37" s="25"/>
      <c r="O37" s="25"/>
      <c r="P37" s="25"/>
    </row>
    <row r="38" spans="2:16" ht="14.5" customHeight="1" x14ac:dyDescent="0.35">
      <c r="B38" s="25"/>
      <c r="C38" s="25"/>
      <c r="D38" s="25"/>
      <c r="E38" s="25"/>
      <c r="F38" s="25"/>
      <c r="G38" s="25"/>
      <c r="H38" s="25"/>
    </row>
    <row r="59" spans="2:16" x14ac:dyDescent="0.35">
      <c r="B59" s="26"/>
      <c r="C59" s="26"/>
      <c r="D59" s="26"/>
      <c r="E59" s="26"/>
      <c r="F59" s="26"/>
      <c r="G59" s="26"/>
      <c r="H59" s="26"/>
      <c r="J59" s="27"/>
      <c r="K59" s="27"/>
      <c r="L59" s="27"/>
      <c r="M59" s="27"/>
      <c r="N59" s="27"/>
      <c r="O59" s="27"/>
      <c r="P59" s="27"/>
    </row>
    <row r="60" spans="2:16" ht="14.5" customHeight="1" x14ac:dyDescent="0.35">
      <c r="B60" s="26"/>
      <c r="C60" s="26"/>
      <c r="D60" s="26"/>
      <c r="E60" s="26"/>
      <c r="F60" s="26"/>
      <c r="G60" s="26"/>
      <c r="H60" s="26"/>
      <c r="J60" s="27"/>
      <c r="K60" s="27"/>
      <c r="L60" s="27"/>
      <c r="M60" s="27"/>
      <c r="N60" s="27"/>
      <c r="O60" s="27"/>
      <c r="P60" s="27"/>
    </row>
    <row r="61" spans="2:16" ht="14.5" customHeight="1" x14ac:dyDescent="0.35">
      <c r="B61" s="21"/>
      <c r="C61" s="21"/>
      <c r="D61" s="21"/>
      <c r="E61" s="21"/>
      <c r="F61" s="21"/>
      <c r="G61" s="21"/>
      <c r="H61" s="21"/>
    </row>
    <row r="62" spans="2:16" ht="14.5" customHeight="1" x14ac:dyDescent="0.35">
      <c r="B62" s="21"/>
      <c r="C62" s="21"/>
      <c r="D62" s="21"/>
      <c r="E62" s="21"/>
      <c r="F62" s="21"/>
      <c r="G62" s="21"/>
      <c r="H62" s="21"/>
    </row>
    <row r="63" spans="2:16" ht="14.5" customHeight="1" x14ac:dyDescent="0.35">
      <c r="B63" s="21"/>
      <c r="C63" s="21"/>
      <c r="D63" s="21"/>
      <c r="E63" s="21"/>
      <c r="F63" s="21"/>
      <c r="G63" s="21"/>
      <c r="H63" s="21"/>
    </row>
  </sheetData>
  <mergeCells count="16">
    <mergeCell ref="A1:R3"/>
    <mergeCell ref="A4:R4"/>
    <mergeCell ref="B59:H60"/>
    <mergeCell ref="J59:P60"/>
    <mergeCell ref="E7:G9"/>
    <mergeCell ref="B7:D9"/>
    <mergeCell ref="B10:D12"/>
    <mergeCell ref="E10:G12"/>
    <mergeCell ref="H10:J12"/>
    <mergeCell ref="H7:J9"/>
    <mergeCell ref="K7:M9"/>
    <mergeCell ref="K10:M12"/>
    <mergeCell ref="N7:P9"/>
    <mergeCell ref="N10:P12"/>
    <mergeCell ref="B34:H38"/>
    <mergeCell ref="J34:P3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workbookViewId="0">
      <selection sqref="A1:A1048576"/>
    </sheetView>
  </sheetViews>
  <sheetFormatPr defaultRowHeight="14.5" x14ac:dyDescent="0.35"/>
  <cols>
    <col min="1" max="1" width="9.1796875" bestFit="1" customWidth="1"/>
    <col min="2" max="2" width="10.7265625" style="10" bestFit="1" customWidth="1"/>
    <col min="3" max="3" width="10.7265625" customWidth="1"/>
    <col min="4" max="4" width="11.81640625" bestFit="1" customWidth="1"/>
    <col min="5" max="5" width="21.54296875" bestFit="1" customWidth="1"/>
    <col min="6" max="6" width="17.453125" bestFit="1" customWidth="1"/>
    <col min="8" max="8" width="13.1796875" bestFit="1" customWidth="1"/>
    <col min="9" max="9" width="15.453125" bestFit="1" customWidth="1"/>
    <col min="11" max="11" width="8.7265625" style="4"/>
    <col min="12" max="12" width="11.08984375" style="2" bestFit="1" customWidth="1"/>
    <col min="14" max="14" width="8.81640625" style="4" bestFit="1" customWidth="1"/>
    <col min="15" max="15" width="16.08984375" bestFit="1" customWidth="1"/>
    <col min="16" max="16" width="13" bestFit="1" customWidth="1"/>
  </cols>
  <sheetData>
    <row r="1" spans="1:16" x14ac:dyDescent="0.35">
      <c r="A1" s="1" t="s">
        <v>0</v>
      </c>
      <c r="B1" s="9" t="s">
        <v>1</v>
      </c>
      <c r="C1" s="1" t="s">
        <v>2615</v>
      </c>
      <c r="D1" s="1" t="s">
        <v>2</v>
      </c>
      <c r="E1" s="1" t="s">
        <v>3</v>
      </c>
      <c r="F1" s="1" t="s">
        <v>4</v>
      </c>
      <c r="G1" s="1" t="s">
        <v>5</v>
      </c>
      <c r="H1" s="1" t="s">
        <v>6</v>
      </c>
      <c r="I1" s="1" t="s">
        <v>7</v>
      </c>
      <c r="J1" s="1" t="s">
        <v>8</v>
      </c>
      <c r="K1" s="3" t="s">
        <v>9</v>
      </c>
      <c r="L1" s="5" t="s">
        <v>10</v>
      </c>
      <c r="M1" s="1" t="s">
        <v>11</v>
      </c>
      <c r="N1" s="3" t="s">
        <v>12</v>
      </c>
      <c r="O1" s="1" t="s">
        <v>13</v>
      </c>
      <c r="P1" s="1" t="s">
        <v>14</v>
      </c>
    </row>
    <row r="2" spans="1:16" x14ac:dyDescent="0.35">
      <c r="A2" t="s">
        <v>15</v>
      </c>
      <c r="B2" s="10" t="s">
        <v>16</v>
      </c>
      <c r="C2" s="11" t="str">
        <f>TEXT(B2,"MMMM")</f>
        <v>February</v>
      </c>
      <c r="D2" t="s">
        <v>17</v>
      </c>
      <c r="E2" t="s">
        <v>18</v>
      </c>
      <c r="F2" t="s">
        <v>19</v>
      </c>
      <c r="G2" t="s">
        <v>20</v>
      </c>
      <c r="H2" t="s">
        <v>21</v>
      </c>
      <c r="I2" t="s">
        <v>22</v>
      </c>
      <c r="J2">
        <v>1</v>
      </c>
      <c r="K2" s="4">
        <v>895.03</v>
      </c>
      <c r="L2" s="2">
        <v>895.03</v>
      </c>
      <c r="M2">
        <v>0.05</v>
      </c>
      <c r="N2" s="4">
        <v>391.74</v>
      </c>
      <c r="O2" t="s">
        <v>23</v>
      </c>
      <c r="P2">
        <v>7</v>
      </c>
    </row>
    <row r="3" spans="1:16" x14ac:dyDescent="0.35">
      <c r="A3" t="s">
        <v>24</v>
      </c>
      <c r="B3" s="10" t="s">
        <v>25</v>
      </c>
      <c r="C3" s="11" t="str">
        <f t="shared" ref="C3:C66" si="0">TEXT(B3,"MMMM")</f>
        <v>October</v>
      </c>
      <c r="D3" t="s">
        <v>26</v>
      </c>
      <c r="E3" t="s">
        <v>27</v>
      </c>
      <c r="F3" t="s">
        <v>19</v>
      </c>
      <c r="G3" t="s">
        <v>28</v>
      </c>
      <c r="H3" t="s">
        <v>29</v>
      </c>
      <c r="I3" t="s">
        <v>30</v>
      </c>
      <c r="J3">
        <v>2</v>
      </c>
      <c r="K3" s="4">
        <v>277.99</v>
      </c>
      <c r="L3" s="2">
        <v>555.98</v>
      </c>
      <c r="M3">
        <v>0.2</v>
      </c>
      <c r="N3" s="4">
        <v>137.52000000000001</v>
      </c>
      <c r="O3" t="s">
        <v>31</v>
      </c>
      <c r="P3">
        <v>8</v>
      </c>
    </row>
    <row r="4" spans="1:16" x14ac:dyDescent="0.35">
      <c r="A4" t="s">
        <v>32</v>
      </c>
      <c r="B4" s="10" t="s">
        <v>33</v>
      </c>
      <c r="C4" s="11" t="str">
        <f t="shared" si="0"/>
        <v>June</v>
      </c>
      <c r="D4" t="s">
        <v>34</v>
      </c>
      <c r="E4" t="s">
        <v>35</v>
      </c>
      <c r="F4" t="s">
        <v>36</v>
      </c>
      <c r="G4" t="s">
        <v>37</v>
      </c>
      <c r="H4" t="s">
        <v>21</v>
      </c>
      <c r="I4" t="s">
        <v>38</v>
      </c>
      <c r="J4">
        <v>1</v>
      </c>
      <c r="K4" s="4">
        <v>915.39</v>
      </c>
      <c r="L4" s="2">
        <v>915.39</v>
      </c>
      <c r="M4">
        <v>0.05</v>
      </c>
      <c r="N4" s="4">
        <v>235.44</v>
      </c>
      <c r="O4" t="s">
        <v>39</v>
      </c>
      <c r="P4">
        <v>2</v>
      </c>
    </row>
    <row r="5" spans="1:16" x14ac:dyDescent="0.35">
      <c r="A5" t="s">
        <v>40</v>
      </c>
      <c r="B5" s="10" t="s">
        <v>41</v>
      </c>
      <c r="C5" s="11" t="str">
        <f t="shared" si="0"/>
        <v>January</v>
      </c>
      <c r="D5" t="s">
        <v>42</v>
      </c>
      <c r="E5" t="s">
        <v>43</v>
      </c>
      <c r="F5" t="s">
        <v>44</v>
      </c>
      <c r="G5" t="s">
        <v>20</v>
      </c>
      <c r="H5" t="s">
        <v>29</v>
      </c>
      <c r="I5" t="s">
        <v>45</v>
      </c>
      <c r="J5">
        <v>2</v>
      </c>
      <c r="K5" s="4">
        <v>443.6</v>
      </c>
      <c r="L5" s="2">
        <v>887.2</v>
      </c>
      <c r="M5">
        <v>0.1</v>
      </c>
      <c r="N5" s="4">
        <v>246.34</v>
      </c>
      <c r="O5" t="s">
        <v>39</v>
      </c>
      <c r="P5">
        <v>2</v>
      </c>
    </row>
    <row r="6" spans="1:16" x14ac:dyDescent="0.35">
      <c r="A6" t="s">
        <v>46</v>
      </c>
      <c r="B6" s="10" t="s">
        <v>47</v>
      </c>
      <c r="C6" s="11" t="str">
        <f t="shared" si="0"/>
        <v>December</v>
      </c>
      <c r="D6" t="s">
        <v>48</v>
      </c>
      <c r="E6" t="s">
        <v>49</v>
      </c>
      <c r="F6" t="s">
        <v>36</v>
      </c>
      <c r="G6" t="s">
        <v>37</v>
      </c>
      <c r="H6" t="s">
        <v>21</v>
      </c>
      <c r="I6" t="s">
        <v>38</v>
      </c>
      <c r="J6">
        <v>10</v>
      </c>
      <c r="K6" s="4">
        <v>1064.83</v>
      </c>
      <c r="L6" s="2">
        <v>10648.3</v>
      </c>
      <c r="M6">
        <v>0.1</v>
      </c>
      <c r="N6" s="4">
        <v>3057.69</v>
      </c>
      <c r="O6" t="s">
        <v>39</v>
      </c>
      <c r="P6">
        <v>2</v>
      </c>
    </row>
    <row r="7" spans="1:16" x14ac:dyDescent="0.35">
      <c r="A7" t="s">
        <v>50</v>
      </c>
      <c r="B7" s="10" t="s">
        <v>51</v>
      </c>
      <c r="C7" s="11" t="str">
        <f t="shared" si="0"/>
        <v>March</v>
      </c>
      <c r="D7" t="s">
        <v>52</v>
      </c>
      <c r="E7" t="s">
        <v>53</v>
      </c>
      <c r="F7" t="s">
        <v>44</v>
      </c>
      <c r="G7" t="s">
        <v>37</v>
      </c>
      <c r="H7" t="s">
        <v>29</v>
      </c>
      <c r="I7" t="s">
        <v>30</v>
      </c>
      <c r="J7">
        <v>7</v>
      </c>
      <c r="K7" s="4">
        <v>348.01</v>
      </c>
      <c r="L7" s="2">
        <v>2436.0700000000002</v>
      </c>
      <c r="M7">
        <v>0.3</v>
      </c>
      <c r="N7" s="4">
        <v>368.94</v>
      </c>
      <c r="O7" t="s">
        <v>23</v>
      </c>
      <c r="P7">
        <v>5</v>
      </c>
    </row>
    <row r="8" spans="1:16" x14ac:dyDescent="0.35">
      <c r="A8" t="s">
        <v>54</v>
      </c>
      <c r="B8" s="10" t="s">
        <v>51</v>
      </c>
      <c r="C8" s="11" t="str">
        <f t="shared" si="0"/>
        <v>March</v>
      </c>
      <c r="D8" t="s">
        <v>55</v>
      </c>
      <c r="E8" t="s">
        <v>56</v>
      </c>
      <c r="F8" t="s">
        <v>44</v>
      </c>
      <c r="G8" t="s">
        <v>57</v>
      </c>
      <c r="H8" t="s">
        <v>21</v>
      </c>
      <c r="I8" t="s">
        <v>22</v>
      </c>
      <c r="J8">
        <v>10</v>
      </c>
      <c r="K8" s="4">
        <v>769.27</v>
      </c>
      <c r="L8" s="2">
        <v>7692.7</v>
      </c>
      <c r="M8">
        <v>0.2</v>
      </c>
      <c r="N8" s="4">
        <v>1589.92</v>
      </c>
      <c r="O8" t="s">
        <v>23</v>
      </c>
      <c r="P8">
        <v>9</v>
      </c>
    </row>
    <row r="9" spans="1:16" x14ac:dyDescent="0.35">
      <c r="A9" t="s">
        <v>58</v>
      </c>
      <c r="B9" s="10" t="s">
        <v>59</v>
      </c>
      <c r="C9" s="11" t="str">
        <f t="shared" si="0"/>
        <v>January</v>
      </c>
      <c r="D9" t="s">
        <v>60</v>
      </c>
      <c r="E9" t="s">
        <v>61</v>
      </c>
      <c r="F9" t="s">
        <v>44</v>
      </c>
      <c r="G9" t="s">
        <v>57</v>
      </c>
      <c r="H9" t="s">
        <v>29</v>
      </c>
      <c r="I9" t="s">
        <v>62</v>
      </c>
      <c r="J9">
        <v>6</v>
      </c>
      <c r="K9" s="4">
        <v>1014.57</v>
      </c>
      <c r="L9" s="2">
        <v>6087.42</v>
      </c>
      <c r="M9">
        <v>0</v>
      </c>
      <c r="N9" s="4">
        <v>2790.36</v>
      </c>
      <c r="O9" t="s">
        <v>31</v>
      </c>
      <c r="P9">
        <v>4</v>
      </c>
    </row>
    <row r="10" spans="1:16" x14ac:dyDescent="0.35">
      <c r="A10" t="s">
        <v>63</v>
      </c>
      <c r="B10" s="10" t="s">
        <v>64</v>
      </c>
      <c r="C10" s="11" t="str">
        <f t="shared" si="0"/>
        <v>November</v>
      </c>
      <c r="D10" t="s">
        <v>65</v>
      </c>
      <c r="E10" t="s">
        <v>66</v>
      </c>
      <c r="F10" t="s">
        <v>36</v>
      </c>
      <c r="G10" t="s">
        <v>57</v>
      </c>
      <c r="H10" t="s">
        <v>21</v>
      </c>
      <c r="I10" t="s">
        <v>38</v>
      </c>
      <c r="J10">
        <v>4</v>
      </c>
      <c r="K10" s="4">
        <v>793.42</v>
      </c>
      <c r="L10" s="2">
        <v>3173.68</v>
      </c>
      <c r="M10">
        <v>0.15</v>
      </c>
      <c r="N10" s="4">
        <v>529.08000000000004</v>
      </c>
      <c r="O10" t="s">
        <v>31</v>
      </c>
      <c r="P10">
        <v>4</v>
      </c>
    </row>
    <row r="11" spans="1:16" x14ac:dyDescent="0.35">
      <c r="A11" t="s">
        <v>67</v>
      </c>
      <c r="B11" s="10" t="s">
        <v>68</v>
      </c>
      <c r="C11" s="11" t="str">
        <f t="shared" si="0"/>
        <v>October</v>
      </c>
      <c r="D11" t="s">
        <v>69</v>
      </c>
      <c r="E11" t="s">
        <v>70</v>
      </c>
      <c r="F11" t="s">
        <v>44</v>
      </c>
      <c r="G11" t="s">
        <v>37</v>
      </c>
      <c r="H11" t="s">
        <v>21</v>
      </c>
      <c r="I11" t="s">
        <v>71</v>
      </c>
      <c r="J11">
        <v>9</v>
      </c>
      <c r="K11" s="4">
        <v>330.04</v>
      </c>
      <c r="L11" s="2">
        <v>2970.36</v>
      </c>
      <c r="M11">
        <v>0.2</v>
      </c>
      <c r="N11" s="4">
        <v>899.73</v>
      </c>
      <c r="O11" t="s">
        <v>31</v>
      </c>
      <c r="P11">
        <v>9</v>
      </c>
    </row>
    <row r="12" spans="1:16" x14ac:dyDescent="0.35">
      <c r="A12" t="s">
        <v>72</v>
      </c>
      <c r="B12" s="10" t="s">
        <v>73</v>
      </c>
      <c r="C12" s="11" t="str">
        <f t="shared" si="0"/>
        <v>December</v>
      </c>
      <c r="D12" t="s">
        <v>74</v>
      </c>
      <c r="E12" t="s">
        <v>75</v>
      </c>
      <c r="F12" t="s">
        <v>19</v>
      </c>
      <c r="G12" t="s">
        <v>20</v>
      </c>
      <c r="H12" t="s">
        <v>76</v>
      </c>
      <c r="I12" t="s">
        <v>77</v>
      </c>
      <c r="J12">
        <v>1</v>
      </c>
      <c r="K12" s="4">
        <v>1036.0999999999999</v>
      </c>
      <c r="L12" s="2">
        <v>1036.0999999999999</v>
      </c>
      <c r="M12">
        <v>0.05</v>
      </c>
      <c r="N12" s="4">
        <v>294.33</v>
      </c>
      <c r="O12" t="s">
        <v>39</v>
      </c>
      <c r="P12">
        <v>7</v>
      </c>
    </row>
    <row r="13" spans="1:16" x14ac:dyDescent="0.35">
      <c r="A13" t="s">
        <v>78</v>
      </c>
      <c r="B13" s="10" t="s">
        <v>79</v>
      </c>
      <c r="C13" s="11" t="str">
        <f t="shared" si="0"/>
        <v>January</v>
      </c>
      <c r="D13" t="s">
        <v>80</v>
      </c>
      <c r="E13" t="s">
        <v>81</v>
      </c>
      <c r="F13" t="s">
        <v>19</v>
      </c>
      <c r="G13" t="s">
        <v>20</v>
      </c>
      <c r="H13" t="s">
        <v>21</v>
      </c>
      <c r="I13" t="s">
        <v>82</v>
      </c>
      <c r="J13">
        <v>9</v>
      </c>
      <c r="K13" s="4">
        <v>316.67</v>
      </c>
      <c r="L13" s="2">
        <v>2850.03</v>
      </c>
      <c r="M13">
        <v>0.2</v>
      </c>
      <c r="N13" s="4">
        <v>468.97</v>
      </c>
      <c r="O13" t="s">
        <v>23</v>
      </c>
      <c r="P13">
        <v>9</v>
      </c>
    </row>
    <row r="14" spans="1:16" x14ac:dyDescent="0.35">
      <c r="A14" t="s">
        <v>83</v>
      </c>
      <c r="B14" s="10" t="s">
        <v>84</v>
      </c>
      <c r="C14" s="11" t="str">
        <f t="shared" si="0"/>
        <v>May</v>
      </c>
      <c r="D14" t="s">
        <v>85</v>
      </c>
      <c r="E14" t="s">
        <v>86</v>
      </c>
      <c r="F14" t="s">
        <v>36</v>
      </c>
      <c r="G14" t="s">
        <v>20</v>
      </c>
      <c r="H14" t="s">
        <v>76</v>
      </c>
      <c r="I14" t="s">
        <v>87</v>
      </c>
      <c r="J14">
        <v>2</v>
      </c>
      <c r="K14" s="4">
        <v>366.33</v>
      </c>
      <c r="L14" s="2">
        <v>732.66</v>
      </c>
      <c r="M14">
        <v>0.05</v>
      </c>
      <c r="N14" s="4">
        <v>256.49</v>
      </c>
      <c r="O14" t="s">
        <v>23</v>
      </c>
      <c r="P14">
        <v>5</v>
      </c>
    </row>
    <row r="15" spans="1:16" x14ac:dyDescent="0.35">
      <c r="A15" t="s">
        <v>88</v>
      </c>
      <c r="B15" s="10" t="s">
        <v>89</v>
      </c>
      <c r="C15" s="11" t="str">
        <f t="shared" si="0"/>
        <v>October</v>
      </c>
      <c r="D15" t="s">
        <v>90</v>
      </c>
      <c r="E15" t="s">
        <v>91</v>
      </c>
      <c r="F15" t="s">
        <v>19</v>
      </c>
      <c r="G15" t="s">
        <v>20</v>
      </c>
      <c r="H15" t="s">
        <v>21</v>
      </c>
      <c r="I15" t="s">
        <v>71</v>
      </c>
      <c r="J15">
        <v>10</v>
      </c>
      <c r="K15" s="4">
        <v>254.72</v>
      </c>
      <c r="L15" s="2">
        <v>2547.1999999999998</v>
      </c>
      <c r="M15">
        <v>0.1</v>
      </c>
      <c r="N15" s="4">
        <v>561.65</v>
      </c>
      <c r="O15" t="s">
        <v>23</v>
      </c>
      <c r="P15">
        <v>6</v>
      </c>
    </row>
    <row r="16" spans="1:16" x14ac:dyDescent="0.35">
      <c r="A16" t="s">
        <v>92</v>
      </c>
      <c r="B16" s="10" t="s">
        <v>93</v>
      </c>
      <c r="C16" s="11" t="str">
        <f t="shared" si="0"/>
        <v>May</v>
      </c>
      <c r="D16" t="s">
        <v>94</v>
      </c>
      <c r="E16" t="s">
        <v>95</v>
      </c>
      <c r="F16" t="s">
        <v>36</v>
      </c>
      <c r="G16" t="s">
        <v>20</v>
      </c>
      <c r="H16" t="s">
        <v>76</v>
      </c>
      <c r="I16" t="s">
        <v>77</v>
      </c>
      <c r="J16">
        <v>2</v>
      </c>
      <c r="K16" s="4">
        <v>1116.3399999999999</v>
      </c>
      <c r="L16" s="2">
        <v>2232.6799999999998</v>
      </c>
      <c r="M16">
        <v>0.1</v>
      </c>
      <c r="N16" s="4">
        <v>912.71</v>
      </c>
      <c r="O16" t="s">
        <v>23</v>
      </c>
      <c r="P16">
        <v>8</v>
      </c>
    </row>
    <row r="17" spans="1:16" x14ac:dyDescent="0.35">
      <c r="A17" t="s">
        <v>96</v>
      </c>
      <c r="B17" s="10" t="s">
        <v>97</v>
      </c>
      <c r="C17" s="11" t="str">
        <f t="shared" si="0"/>
        <v>March</v>
      </c>
      <c r="D17" t="s">
        <v>98</v>
      </c>
      <c r="E17" t="s">
        <v>99</v>
      </c>
      <c r="F17" t="s">
        <v>19</v>
      </c>
      <c r="G17" t="s">
        <v>28</v>
      </c>
      <c r="H17" t="s">
        <v>29</v>
      </c>
      <c r="I17" t="s">
        <v>100</v>
      </c>
      <c r="J17">
        <v>3</v>
      </c>
      <c r="K17" s="4">
        <v>171.5</v>
      </c>
      <c r="L17" s="2">
        <v>514.5</v>
      </c>
      <c r="M17">
        <v>0.15</v>
      </c>
      <c r="N17" s="4">
        <v>74.900000000000006</v>
      </c>
      <c r="O17" t="s">
        <v>31</v>
      </c>
      <c r="P17">
        <v>9</v>
      </c>
    </row>
    <row r="18" spans="1:16" x14ac:dyDescent="0.35">
      <c r="A18" t="s">
        <v>101</v>
      </c>
      <c r="B18" s="10" t="s">
        <v>102</v>
      </c>
      <c r="C18" s="11" t="str">
        <f t="shared" si="0"/>
        <v>August</v>
      </c>
      <c r="D18" t="s">
        <v>103</v>
      </c>
      <c r="E18" t="s">
        <v>104</v>
      </c>
      <c r="F18" t="s">
        <v>44</v>
      </c>
      <c r="G18" t="s">
        <v>20</v>
      </c>
      <c r="H18" t="s">
        <v>21</v>
      </c>
      <c r="I18" t="s">
        <v>105</v>
      </c>
      <c r="J18">
        <v>5</v>
      </c>
      <c r="K18" s="4">
        <v>490.81</v>
      </c>
      <c r="L18" s="2">
        <v>2454.0500000000002</v>
      </c>
      <c r="M18">
        <v>0.3</v>
      </c>
      <c r="N18" s="4">
        <v>498.26</v>
      </c>
      <c r="O18" t="s">
        <v>31</v>
      </c>
      <c r="P18">
        <v>4</v>
      </c>
    </row>
    <row r="19" spans="1:16" x14ac:dyDescent="0.35">
      <c r="A19" t="s">
        <v>106</v>
      </c>
      <c r="B19" s="10" t="s">
        <v>107</v>
      </c>
      <c r="C19" s="11" t="str">
        <f t="shared" si="0"/>
        <v>January</v>
      </c>
      <c r="D19" t="s">
        <v>108</v>
      </c>
      <c r="E19" t="s">
        <v>109</v>
      </c>
      <c r="F19" t="s">
        <v>19</v>
      </c>
      <c r="G19" t="s">
        <v>20</v>
      </c>
      <c r="H19" t="s">
        <v>29</v>
      </c>
      <c r="I19" t="s">
        <v>110</v>
      </c>
      <c r="J19">
        <v>1</v>
      </c>
      <c r="K19" s="4">
        <v>714.2</v>
      </c>
      <c r="L19" s="2">
        <v>714.2</v>
      </c>
      <c r="M19">
        <v>0.05</v>
      </c>
      <c r="N19" s="4">
        <v>213.47</v>
      </c>
      <c r="O19" t="s">
        <v>31</v>
      </c>
      <c r="P19">
        <v>2</v>
      </c>
    </row>
    <row r="20" spans="1:16" x14ac:dyDescent="0.35">
      <c r="A20" t="s">
        <v>111</v>
      </c>
      <c r="B20" s="10" t="s">
        <v>112</v>
      </c>
      <c r="C20" s="11" t="str">
        <f t="shared" si="0"/>
        <v>April</v>
      </c>
      <c r="D20" t="s">
        <v>113</v>
      </c>
      <c r="E20" t="s">
        <v>114</v>
      </c>
      <c r="F20" t="s">
        <v>36</v>
      </c>
      <c r="G20" t="s">
        <v>28</v>
      </c>
      <c r="H20" t="s">
        <v>29</v>
      </c>
      <c r="I20" t="s">
        <v>110</v>
      </c>
      <c r="J20">
        <v>2</v>
      </c>
      <c r="K20" s="4">
        <v>626.70000000000005</v>
      </c>
      <c r="L20" s="2">
        <v>1253.4000000000001</v>
      </c>
      <c r="M20">
        <v>0.1</v>
      </c>
      <c r="N20" s="4">
        <v>318.57</v>
      </c>
      <c r="O20" t="s">
        <v>31</v>
      </c>
      <c r="P20">
        <v>8</v>
      </c>
    </row>
    <row r="21" spans="1:16" x14ac:dyDescent="0.35">
      <c r="A21" t="s">
        <v>115</v>
      </c>
      <c r="B21" s="10" t="s">
        <v>116</v>
      </c>
      <c r="C21" s="11" t="str">
        <f t="shared" si="0"/>
        <v>July</v>
      </c>
      <c r="D21" t="s">
        <v>117</v>
      </c>
      <c r="E21" t="s">
        <v>118</v>
      </c>
      <c r="F21" t="s">
        <v>19</v>
      </c>
      <c r="G21" t="s">
        <v>20</v>
      </c>
      <c r="H21" t="s">
        <v>76</v>
      </c>
      <c r="I21" t="s">
        <v>119</v>
      </c>
      <c r="J21">
        <v>2</v>
      </c>
      <c r="K21" s="4">
        <v>134.38</v>
      </c>
      <c r="L21" s="2">
        <v>268.76</v>
      </c>
      <c r="M21">
        <v>0.15</v>
      </c>
      <c r="N21" s="4">
        <v>93.27</v>
      </c>
      <c r="O21" t="s">
        <v>23</v>
      </c>
      <c r="P21">
        <v>2</v>
      </c>
    </row>
    <row r="22" spans="1:16" x14ac:dyDescent="0.35">
      <c r="A22" t="s">
        <v>120</v>
      </c>
      <c r="B22" s="10" t="s">
        <v>121</v>
      </c>
      <c r="C22" s="11" t="str">
        <f t="shared" si="0"/>
        <v>April</v>
      </c>
      <c r="D22" t="s">
        <v>122</v>
      </c>
      <c r="E22" t="s">
        <v>123</v>
      </c>
      <c r="F22" t="s">
        <v>44</v>
      </c>
      <c r="G22" t="s">
        <v>37</v>
      </c>
      <c r="H22" t="s">
        <v>29</v>
      </c>
      <c r="I22" t="s">
        <v>45</v>
      </c>
      <c r="J22">
        <v>6</v>
      </c>
      <c r="K22" s="4">
        <v>964.7</v>
      </c>
      <c r="L22" s="2">
        <v>5788.2</v>
      </c>
      <c r="M22">
        <v>0</v>
      </c>
      <c r="N22" s="4">
        <v>2607.8000000000002</v>
      </c>
      <c r="O22" t="s">
        <v>39</v>
      </c>
      <c r="P22">
        <v>3</v>
      </c>
    </row>
    <row r="23" spans="1:16" x14ac:dyDescent="0.35">
      <c r="A23" t="s">
        <v>124</v>
      </c>
      <c r="B23" s="10" t="s">
        <v>125</v>
      </c>
      <c r="C23" s="11" t="str">
        <f t="shared" si="0"/>
        <v>October</v>
      </c>
      <c r="D23" t="s">
        <v>126</v>
      </c>
      <c r="E23" t="s">
        <v>127</v>
      </c>
      <c r="F23" t="s">
        <v>36</v>
      </c>
      <c r="G23" t="s">
        <v>20</v>
      </c>
      <c r="H23" t="s">
        <v>76</v>
      </c>
      <c r="I23" t="s">
        <v>128</v>
      </c>
      <c r="J23">
        <v>4</v>
      </c>
      <c r="K23" s="4">
        <v>1051.8900000000001</v>
      </c>
      <c r="L23" s="2">
        <v>4207.5600000000004</v>
      </c>
      <c r="M23">
        <v>0</v>
      </c>
      <c r="N23" s="4">
        <v>1568.36</v>
      </c>
      <c r="O23" t="s">
        <v>31</v>
      </c>
      <c r="P23">
        <v>4</v>
      </c>
    </row>
    <row r="24" spans="1:16" x14ac:dyDescent="0.35">
      <c r="A24" t="s">
        <v>129</v>
      </c>
      <c r="B24" s="10" t="s">
        <v>97</v>
      </c>
      <c r="C24" s="11" t="str">
        <f t="shared" si="0"/>
        <v>March</v>
      </c>
      <c r="D24" t="s">
        <v>130</v>
      </c>
      <c r="E24" t="s">
        <v>131</v>
      </c>
      <c r="F24" t="s">
        <v>36</v>
      </c>
      <c r="G24" t="s">
        <v>28</v>
      </c>
      <c r="H24" t="s">
        <v>29</v>
      </c>
      <c r="I24" t="s">
        <v>45</v>
      </c>
      <c r="J24">
        <v>8</v>
      </c>
      <c r="K24" s="4">
        <v>588</v>
      </c>
      <c r="L24" s="2">
        <v>4704</v>
      </c>
      <c r="M24">
        <v>0.15</v>
      </c>
      <c r="N24" s="4">
        <v>755.79</v>
      </c>
      <c r="O24" t="s">
        <v>39</v>
      </c>
      <c r="P24">
        <v>8</v>
      </c>
    </row>
    <row r="25" spans="1:16" x14ac:dyDescent="0.35">
      <c r="A25" t="s">
        <v>132</v>
      </c>
      <c r="B25" s="10" t="s">
        <v>133</v>
      </c>
      <c r="C25" s="11" t="str">
        <f t="shared" si="0"/>
        <v>June</v>
      </c>
      <c r="D25" t="s">
        <v>134</v>
      </c>
      <c r="E25" t="s">
        <v>135</v>
      </c>
      <c r="F25" t="s">
        <v>36</v>
      </c>
      <c r="G25" t="s">
        <v>20</v>
      </c>
      <c r="H25" t="s">
        <v>76</v>
      </c>
      <c r="I25" t="s">
        <v>128</v>
      </c>
      <c r="J25">
        <v>9</v>
      </c>
      <c r="K25" s="4">
        <v>801.01</v>
      </c>
      <c r="L25" s="2">
        <v>7209.09</v>
      </c>
      <c r="M25">
        <v>0.15</v>
      </c>
      <c r="N25" s="4">
        <v>2990.83</v>
      </c>
      <c r="O25" t="s">
        <v>23</v>
      </c>
      <c r="P25">
        <v>6</v>
      </c>
    </row>
    <row r="26" spans="1:16" x14ac:dyDescent="0.35">
      <c r="A26" t="s">
        <v>136</v>
      </c>
      <c r="B26" s="10" t="s">
        <v>137</v>
      </c>
      <c r="C26" s="11" t="str">
        <f t="shared" si="0"/>
        <v>September</v>
      </c>
      <c r="D26" t="s">
        <v>138</v>
      </c>
      <c r="E26" t="s">
        <v>139</v>
      </c>
      <c r="F26" t="s">
        <v>36</v>
      </c>
      <c r="G26" t="s">
        <v>20</v>
      </c>
      <c r="H26" t="s">
        <v>29</v>
      </c>
      <c r="I26" t="s">
        <v>30</v>
      </c>
      <c r="J26">
        <v>10</v>
      </c>
      <c r="K26" s="4">
        <v>582.61</v>
      </c>
      <c r="L26" s="2">
        <v>5826.1</v>
      </c>
      <c r="M26">
        <v>0.2</v>
      </c>
      <c r="N26" s="4">
        <v>2269.9699999999998</v>
      </c>
      <c r="O26" t="s">
        <v>23</v>
      </c>
      <c r="P26">
        <v>2</v>
      </c>
    </row>
    <row r="27" spans="1:16" x14ac:dyDescent="0.35">
      <c r="A27" t="s">
        <v>140</v>
      </c>
      <c r="B27" s="10" t="s">
        <v>141</v>
      </c>
      <c r="C27" s="11" t="str">
        <f t="shared" si="0"/>
        <v>November</v>
      </c>
      <c r="D27" t="s">
        <v>142</v>
      </c>
      <c r="E27" t="s">
        <v>143</v>
      </c>
      <c r="F27" t="s">
        <v>19</v>
      </c>
      <c r="G27" t="s">
        <v>20</v>
      </c>
      <c r="H27" t="s">
        <v>21</v>
      </c>
      <c r="I27" t="s">
        <v>105</v>
      </c>
      <c r="J27">
        <v>7</v>
      </c>
      <c r="K27" s="4">
        <v>161.47</v>
      </c>
      <c r="L27" s="2">
        <v>1130.29</v>
      </c>
      <c r="M27">
        <v>0.2</v>
      </c>
      <c r="N27" s="4">
        <v>408.27</v>
      </c>
      <c r="O27" t="s">
        <v>39</v>
      </c>
      <c r="P27">
        <v>10</v>
      </c>
    </row>
    <row r="28" spans="1:16" x14ac:dyDescent="0.35">
      <c r="A28" t="s">
        <v>144</v>
      </c>
      <c r="B28" s="10" t="s">
        <v>145</v>
      </c>
      <c r="C28" s="11" t="str">
        <f t="shared" si="0"/>
        <v>June</v>
      </c>
      <c r="D28" t="s">
        <v>146</v>
      </c>
      <c r="E28" t="s">
        <v>147</v>
      </c>
      <c r="F28" t="s">
        <v>44</v>
      </c>
      <c r="G28" t="s">
        <v>28</v>
      </c>
      <c r="H28" t="s">
        <v>21</v>
      </c>
      <c r="I28" t="s">
        <v>71</v>
      </c>
      <c r="J28">
        <v>6</v>
      </c>
      <c r="K28" s="4">
        <v>1122.95</v>
      </c>
      <c r="L28" s="2">
        <v>6737.7</v>
      </c>
      <c r="M28">
        <v>0.05</v>
      </c>
      <c r="N28" s="4">
        <v>1805.73</v>
      </c>
      <c r="O28" t="s">
        <v>31</v>
      </c>
      <c r="P28">
        <v>5</v>
      </c>
    </row>
    <row r="29" spans="1:16" x14ac:dyDescent="0.35">
      <c r="A29" t="s">
        <v>148</v>
      </c>
      <c r="B29" s="10" t="s">
        <v>149</v>
      </c>
      <c r="C29" s="11" t="str">
        <f t="shared" si="0"/>
        <v>February</v>
      </c>
      <c r="D29" t="s">
        <v>108</v>
      </c>
      <c r="E29" t="s">
        <v>150</v>
      </c>
      <c r="F29" t="s">
        <v>19</v>
      </c>
      <c r="G29" t="s">
        <v>37</v>
      </c>
      <c r="H29" t="s">
        <v>76</v>
      </c>
      <c r="I29" t="s">
        <v>87</v>
      </c>
      <c r="J29">
        <v>2</v>
      </c>
      <c r="K29" s="4">
        <v>30.99</v>
      </c>
      <c r="L29" s="2">
        <v>61.98</v>
      </c>
      <c r="M29">
        <v>0.2</v>
      </c>
      <c r="N29" s="4">
        <v>7.47</v>
      </c>
      <c r="O29" t="s">
        <v>23</v>
      </c>
      <c r="P29">
        <v>5</v>
      </c>
    </row>
    <row r="30" spans="1:16" x14ac:dyDescent="0.35">
      <c r="A30" t="s">
        <v>151</v>
      </c>
      <c r="B30" s="10" t="s">
        <v>102</v>
      </c>
      <c r="C30" s="11" t="str">
        <f t="shared" si="0"/>
        <v>August</v>
      </c>
      <c r="D30" t="s">
        <v>152</v>
      </c>
      <c r="E30" t="s">
        <v>153</v>
      </c>
      <c r="F30" t="s">
        <v>19</v>
      </c>
      <c r="G30" t="s">
        <v>57</v>
      </c>
      <c r="H30" t="s">
        <v>29</v>
      </c>
      <c r="I30" t="s">
        <v>110</v>
      </c>
      <c r="J30">
        <v>2</v>
      </c>
      <c r="K30" s="4">
        <v>1057.54</v>
      </c>
      <c r="L30" s="2">
        <v>2115.08</v>
      </c>
      <c r="M30">
        <v>0.1</v>
      </c>
      <c r="N30" s="4">
        <v>829.97</v>
      </c>
      <c r="O30" t="s">
        <v>23</v>
      </c>
      <c r="P30">
        <v>9</v>
      </c>
    </row>
    <row r="31" spans="1:16" x14ac:dyDescent="0.35">
      <c r="A31" t="s">
        <v>154</v>
      </c>
      <c r="B31" s="10" t="s">
        <v>155</v>
      </c>
      <c r="C31" s="11" t="str">
        <f t="shared" si="0"/>
        <v>March</v>
      </c>
      <c r="D31" t="s">
        <v>98</v>
      </c>
      <c r="E31" t="s">
        <v>156</v>
      </c>
      <c r="F31" t="s">
        <v>36</v>
      </c>
      <c r="G31" t="s">
        <v>20</v>
      </c>
      <c r="H31" t="s">
        <v>29</v>
      </c>
      <c r="I31" t="s">
        <v>62</v>
      </c>
      <c r="J31">
        <v>9</v>
      </c>
      <c r="K31" s="4">
        <v>373.27</v>
      </c>
      <c r="L31" s="2">
        <v>3359.43</v>
      </c>
      <c r="M31">
        <v>0.3</v>
      </c>
      <c r="N31" s="4">
        <v>1195.94</v>
      </c>
      <c r="O31" t="s">
        <v>23</v>
      </c>
      <c r="P31">
        <v>9</v>
      </c>
    </row>
    <row r="32" spans="1:16" x14ac:dyDescent="0.35">
      <c r="A32" t="s">
        <v>157</v>
      </c>
      <c r="B32" s="10" t="s">
        <v>158</v>
      </c>
      <c r="C32" s="11" t="str">
        <f t="shared" si="0"/>
        <v>December</v>
      </c>
      <c r="D32" t="s">
        <v>159</v>
      </c>
      <c r="E32" t="s">
        <v>160</v>
      </c>
      <c r="F32" t="s">
        <v>44</v>
      </c>
      <c r="G32" t="s">
        <v>28</v>
      </c>
      <c r="H32" t="s">
        <v>29</v>
      </c>
      <c r="I32" t="s">
        <v>110</v>
      </c>
      <c r="J32">
        <v>5</v>
      </c>
      <c r="K32" s="4">
        <v>733.7</v>
      </c>
      <c r="L32" s="2">
        <v>3668.5</v>
      </c>
      <c r="M32">
        <v>0.3</v>
      </c>
      <c r="N32" s="4">
        <v>1060.17</v>
      </c>
      <c r="O32" t="s">
        <v>39</v>
      </c>
      <c r="P32">
        <v>1</v>
      </c>
    </row>
    <row r="33" spans="1:16" x14ac:dyDescent="0.35">
      <c r="A33" t="s">
        <v>161</v>
      </c>
      <c r="B33" s="10" t="s">
        <v>162</v>
      </c>
      <c r="C33" s="11" t="str">
        <f t="shared" si="0"/>
        <v>March</v>
      </c>
      <c r="D33" t="s">
        <v>163</v>
      </c>
      <c r="E33" t="s">
        <v>164</v>
      </c>
      <c r="F33" t="s">
        <v>44</v>
      </c>
      <c r="G33" t="s">
        <v>37</v>
      </c>
      <c r="H33" t="s">
        <v>29</v>
      </c>
      <c r="I33" t="s">
        <v>62</v>
      </c>
      <c r="J33">
        <v>7</v>
      </c>
      <c r="K33" s="4">
        <v>998.63</v>
      </c>
      <c r="L33" s="2">
        <v>6990.41</v>
      </c>
      <c r="M33">
        <v>0</v>
      </c>
      <c r="N33" s="4">
        <v>3834.81</v>
      </c>
      <c r="O33" t="s">
        <v>23</v>
      </c>
      <c r="P33">
        <v>8</v>
      </c>
    </row>
    <row r="34" spans="1:16" x14ac:dyDescent="0.35">
      <c r="A34" t="s">
        <v>165</v>
      </c>
      <c r="B34" s="10" t="s">
        <v>166</v>
      </c>
      <c r="C34" s="11" t="str">
        <f t="shared" si="0"/>
        <v>December</v>
      </c>
      <c r="D34" t="s">
        <v>167</v>
      </c>
      <c r="E34" t="s">
        <v>168</v>
      </c>
      <c r="F34" t="s">
        <v>19</v>
      </c>
      <c r="G34" t="s">
        <v>20</v>
      </c>
      <c r="H34" t="s">
        <v>21</v>
      </c>
      <c r="I34" t="s">
        <v>82</v>
      </c>
      <c r="J34">
        <v>9</v>
      </c>
      <c r="K34" s="4">
        <v>31.41</v>
      </c>
      <c r="L34" s="2">
        <v>282.69</v>
      </c>
      <c r="M34">
        <v>0</v>
      </c>
      <c r="N34" s="4">
        <v>48.62</v>
      </c>
      <c r="O34" t="s">
        <v>39</v>
      </c>
      <c r="P34">
        <v>10</v>
      </c>
    </row>
    <row r="35" spans="1:16" x14ac:dyDescent="0.35">
      <c r="A35" t="s">
        <v>169</v>
      </c>
      <c r="B35" s="10" t="s">
        <v>170</v>
      </c>
      <c r="C35" s="11" t="str">
        <f t="shared" si="0"/>
        <v>January</v>
      </c>
      <c r="D35" t="s">
        <v>171</v>
      </c>
      <c r="E35" t="s">
        <v>172</v>
      </c>
      <c r="F35" t="s">
        <v>36</v>
      </c>
      <c r="G35" t="s">
        <v>37</v>
      </c>
      <c r="H35" t="s">
        <v>21</v>
      </c>
      <c r="I35" t="s">
        <v>105</v>
      </c>
      <c r="J35">
        <v>7</v>
      </c>
      <c r="K35" s="4">
        <v>170.39</v>
      </c>
      <c r="L35" s="2">
        <v>1192.73</v>
      </c>
      <c r="M35">
        <v>0.1</v>
      </c>
      <c r="N35" s="4">
        <v>433.83</v>
      </c>
      <c r="O35" t="s">
        <v>23</v>
      </c>
      <c r="P35">
        <v>2</v>
      </c>
    </row>
    <row r="36" spans="1:16" x14ac:dyDescent="0.35">
      <c r="A36" t="s">
        <v>173</v>
      </c>
      <c r="B36" s="10" t="s">
        <v>174</v>
      </c>
      <c r="C36" s="11" t="str">
        <f t="shared" si="0"/>
        <v>May</v>
      </c>
      <c r="D36" t="s">
        <v>175</v>
      </c>
      <c r="E36" t="s">
        <v>176</v>
      </c>
      <c r="F36" t="s">
        <v>36</v>
      </c>
      <c r="G36" t="s">
        <v>28</v>
      </c>
      <c r="H36" t="s">
        <v>76</v>
      </c>
      <c r="I36" t="s">
        <v>177</v>
      </c>
      <c r="J36">
        <v>7</v>
      </c>
      <c r="K36" s="4">
        <v>1169.1300000000001</v>
      </c>
      <c r="L36" s="2">
        <v>8183.91</v>
      </c>
      <c r="M36">
        <v>0.3</v>
      </c>
      <c r="N36" s="4">
        <v>2796.65</v>
      </c>
      <c r="O36" t="s">
        <v>31</v>
      </c>
      <c r="P36">
        <v>3</v>
      </c>
    </row>
    <row r="37" spans="1:16" x14ac:dyDescent="0.35">
      <c r="A37" t="s">
        <v>178</v>
      </c>
      <c r="B37" s="10" t="s">
        <v>179</v>
      </c>
      <c r="C37" s="11" t="str">
        <f t="shared" si="0"/>
        <v>May</v>
      </c>
      <c r="D37" t="s">
        <v>180</v>
      </c>
      <c r="E37" t="s">
        <v>181</v>
      </c>
      <c r="F37" t="s">
        <v>19</v>
      </c>
      <c r="G37" t="s">
        <v>20</v>
      </c>
      <c r="H37" t="s">
        <v>21</v>
      </c>
      <c r="I37" t="s">
        <v>38</v>
      </c>
      <c r="J37">
        <v>7</v>
      </c>
      <c r="K37" s="4">
        <v>966.64</v>
      </c>
      <c r="L37" s="2">
        <v>6766.48</v>
      </c>
      <c r="M37">
        <v>0.3</v>
      </c>
      <c r="N37" s="4">
        <v>1069.04</v>
      </c>
      <c r="O37" t="s">
        <v>39</v>
      </c>
      <c r="P37">
        <v>1</v>
      </c>
    </row>
    <row r="38" spans="1:16" x14ac:dyDescent="0.35">
      <c r="A38" t="s">
        <v>182</v>
      </c>
      <c r="B38" s="10" t="s">
        <v>183</v>
      </c>
      <c r="C38" s="11" t="str">
        <f t="shared" si="0"/>
        <v>April</v>
      </c>
      <c r="D38" t="s">
        <v>184</v>
      </c>
      <c r="E38" t="s">
        <v>185</v>
      </c>
      <c r="F38" t="s">
        <v>36</v>
      </c>
      <c r="G38" t="s">
        <v>37</v>
      </c>
      <c r="H38" t="s">
        <v>76</v>
      </c>
      <c r="I38" t="s">
        <v>119</v>
      </c>
      <c r="J38">
        <v>4</v>
      </c>
      <c r="K38" s="4">
        <v>983.57</v>
      </c>
      <c r="L38" s="2">
        <v>3934.28</v>
      </c>
      <c r="M38">
        <v>0.15</v>
      </c>
      <c r="N38" s="4">
        <v>1371.55</v>
      </c>
      <c r="O38" t="s">
        <v>39</v>
      </c>
      <c r="P38">
        <v>6</v>
      </c>
    </row>
    <row r="39" spans="1:16" x14ac:dyDescent="0.35">
      <c r="A39" t="s">
        <v>186</v>
      </c>
      <c r="B39" s="10" t="s">
        <v>187</v>
      </c>
      <c r="C39" s="11" t="str">
        <f t="shared" si="0"/>
        <v>October</v>
      </c>
      <c r="D39" t="s">
        <v>188</v>
      </c>
      <c r="E39" t="s">
        <v>189</v>
      </c>
      <c r="F39" t="s">
        <v>36</v>
      </c>
      <c r="G39" t="s">
        <v>20</v>
      </c>
      <c r="H39" t="s">
        <v>76</v>
      </c>
      <c r="I39" t="s">
        <v>77</v>
      </c>
      <c r="J39">
        <v>5</v>
      </c>
      <c r="K39" s="4">
        <v>434.35</v>
      </c>
      <c r="L39" s="2">
        <v>2171.75</v>
      </c>
      <c r="M39">
        <v>0.2</v>
      </c>
      <c r="N39" s="4">
        <v>677.81</v>
      </c>
      <c r="O39" t="s">
        <v>39</v>
      </c>
      <c r="P39">
        <v>3</v>
      </c>
    </row>
    <row r="40" spans="1:16" x14ac:dyDescent="0.35">
      <c r="A40" t="s">
        <v>190</v>
      </c>
      <c r="B40" s="10" t="s">
        <v>145</v>
      </c>
      <c r="C40" s="11" t="str">
        <f t="shared" si="0"/>
        <v>June</v>
      </c>
      <c r="D40" t="s">
        <v>191</v>
      </c>
      <c r="E40" t="s">
        <v>192</v>
      </c>
      <c r="F40" t="s">
        <v>19</v>
      </c>
      <c r="G40" t="s">
        <v>20</v>
      </c>
      <c r="H40" t="s">
        <v>21</v>
      </c>
      <c r="I40" t="s">
        <v>38</v>
      </c>
      <c r="J40">
        <v>1</v>
      </c>
      <c r="K40" s="4">
        <v>147.91999999999999</v>
      </c>
      <c r="L40" s="2">
        <v>147.91999999999999</v>
      </c>
      <c r="M40">
        <v>0.15</v>
      </c>
      <c r="N40" s="4">
        <v>51.77</v>
      </c>
      <c r="O40" t="s">
        <v>39</v>
      </c>
      <c r="P40">
        <v>10</v>
      </c>
    </row>
    <row r="41" spans="1:16" x14ac:dyDescent="0.35">
      <c r="A41" t="s">
        <v>193</v>
      </c>
      <c r="B41" s="10" t="s">
        <v>194</v>
      </c>
      <c r="C41" s="11" t="str">
        <f t="shared" si="0"/>
        <v>October</v>
      </c>
      <c r="D41" t="s">
        <v>195</v>
      </c>
      <c r="E41" t="s">
        <v>196</v>
      </c>
      <c r="F41" t="s">
        <v>19</v>
      </c>
      <c r="G41" t="s">
        <v>37</v>
      </c>
      <c r="H41" t="s">
        <v>29</v>
      </c>
      <c r="I41" t="s">
        <v>110</v>
      </c>
      <c r="J41">
        <v>1</v>
      </c>
      <c r="K41" s="4">
        <v>856.37</v>
      </c>
      <c r="L41" s="2">
        <v>856.37</v>
      </c>
      <c r="M41">
        <v>0</v>
      </c>
      <c r="N41" s="4">
        <v>292.91000000000003</v>
      </c>
      <c r="O41" t="s">
        <v>39</v>
      </c>
      <c r="P41">
        <v>7</v>
      </c>
    </row>
    <row r="42" spans="1:16" x14ac:dyDescent="0.35">
      <c r="A42" t="s">
        <v>197</v>
      </c>
      <c r="B42" s="10" t="s">
        <v>198</v>
      </c>
      <c r="C42" s="11" t="str">
        <f t="shared" si="0"/>
        <v>June</v>
      </c>
      <c r="D42" t="s">
        <v>199</v>
      </c>
      <c r="E42" t="s">
        <v>200</v>
      </c>
      <c r="F42" t="s">
        <v>44</v>
      </c>
      <c r="G42" t="s">
        <v>28</v>
      </c>
      <c r="H42" t="s">
        <v>29</v>
      </c>
      <c r="I42" t="s">
        <v>62</v>
      </c>
      <c r="J42">
        <v>6</v>
      </c>
      <c r="K42" s="4">
        <v>755.32</v>
      </c>
      <c r="L42" s="2">
        <v>4531.92</v>
      </c>
      <c r="M42">
        <v>0.3</v>
      </c>
      <c r="N42" s="4">
        <v>668.71</v>
      </c>
      <c r="O42" t="s">
        <v>39</v>
      </c>
      <c r="P42">
        <v>7</v>
      </c>
    </row>
    <row r="43" spans="1:16" x14ac:dyDescent="0.35">
      <c r="A43" t="s">
        <v>201</v>
      </c>
      <c r="B43" s="10" t="s">
        <v>202</v>
      </c>
      <c r="C43" s="11" t="str">
        <f t="shared" si="0"/>
        <v>July</v>
      </c>
      <c r="D43" t="s">
        <v>17</v>
      </c>
      <c r="E43" t="s">
        <v>203</v>
      </c>
      <c r="F43" t="s">
        <v>19</v>
      </c>
      <c r="G43" t="s">
        <v>37</v>
      </c>
      <c r="H43" t="s">
        <v>21</v>
      </c>
      <c r="I43" t="s">
        <v>38</v>
      </c>
      <c r="J43">
        <v>9</v>
      </c>
      <c r="K43" s="4">
        <v>170.2</v>
      </c>
      <c r="L43" s="2">
        <v>1531.8</v>
      </c>
      <c r="M43">
        <v>0.15</v>
      </c>
      <c r="N43" s="4">
        <v>369.81</v>
      </c>
      <c r="O43" t="s">
        <v>23</v>
      </c>
      <c r="P43">
        <v>10</v>
      </c>
    </row>
    <row r="44" spans="1:16" x14ac:dyDescent="0.35">
      <c r="A44" t="s">
        <v>204</v>
      </c>
      <c r="B44" s="10" t="s">
        <v>205</v>
      </c>
      <c r="C44" s="11" t="str">
        <f t="shared" si="0"/>
        <v>August</v>
      </c>
      <c r="D44" t="s">
        <v>206</v>
      </c>
      <c r="E44" t="s">
        <v>207</v>
      </c>
      <c r="F44" t="s">
        <v>19</v>
      </c>
      <c r="G44" t="s">
        <v>57</v>
      </c>
      <c r="H44" t="s">
        <v>76</v>
      </c>
      <c r="I44" t="s">
        <v>128</v>
      </c>
      <c r="J44">
        <v>9</v>
      </c>
      <c r="K44" s="4">
        <v>1003.8</v>
      </c>
      <c r="L44" s="2">
        <v>9034.2000000000007</v>
      </c>
      <c r="M44">
        <v>0.1</v>
      </c>
      <c r="N44" s="4">
        <v>3538.8</v>
      </c>
      <c r="O44" t="s">
        <v>39</v>
      </c>
      <c r="P44">
        <v>8</v>
      </c>
    </row>
    <row r="45" spans="1:16" x14ac:dyDescent="0.35">
      <c r="A45" t="s">
        <v>208</v>
      </c>
      <c r="B45" s="10" t="s">
        <v>209</v>
      </c>
      <c r="C45" s="11" t="str">
        <f t="shared" si="0"/>
        <v>February</v>
      </c>
      <c r="D45" t="s">
        <v>210</v>
      </c>
      <c r="E45" t="s">
        <v>211</v>
      </c>
      <c r="F45" t="s">
        <v>19</v>
      </c>
      <c r="G45" t="s">
        <v>57</v>
      </c>
      <c r="H45" t="s">
        <v>76</v>
      </c>
      <c r="I45" t="s">
        <v>119</v>
      </c>
      <c r="J45">
        <v>9</v>
      </c>
      <c r="K45" s="4">
        <v>578.36</v>
      </c>
      <c r="L45" s="2">
        <v>5205.24</v>
      </c>
      <c r="M45">
        <v>0.3</v>
      </c>
      <c r="N45" s="4">
        <v>1756.7</v>
      </c>
      <c r="O45" t="s">
        <v>31</v>
      </c>
      <c r="P45">
        <v>4</v>
      </c>
    </row>
    <row r="46" spans="1:16" x14ac:dyDescent="0.35">
      <c r="A46" t="s">
        <v>212</v>
      </c>
      <c r="B46" s="10" t="s">
        <v>213</v>
      </c>
      <c r="C46" s="11" t="str">
        <f t="shared" si="0"/>
        <v>May</v>
      </c>
      <c r="D46" t="s">
        <v>214</v>
      </c>
      <c r="E46" t="s">
        <v>215</v>
      </c>
      <c r="F46" t="s">
        <v>19</v>
      </c>
      <c r="G46" t="s">
        <v>20</v>
      </c>
      <c r="H46" t="s">
        <v>21</v>
      </c>
      <c r="I46" t="s">
        <v>38</v>
      </c>
      <c r="J46">
        <v>4</v>
      </c>
      <c r="K46" s="4">
        <v>971.74</v>
      </c>
      <c r="L46" s="2">
        <v>3886.96</v>
      </c>
      <c r="M46">
        <v>0.05</v>
      </c>
      <c r="N46" s="4">
        <v>1994.86</v>
      </c>
      <c r="O46" t="s">
        <v>39</v>
      </c>
      <c r="P46">
        <v>7</v>
      </c>
    </row>
    <row r="47" spans="1:16" x14ac:dyDescent="0.35">
      <c r="A47" t="s">
        <v>216</v>
      </c>
      <c r="B47" s="10" t="s">
        <v>217</v>
      </c>
      <c r="C47" s="11" t="str">
        <f t="shared" si="0"/>
        <v>May</v>
      </c>
      <c r="D47" t="s">
        <v>218</v>
      </c>
      <c r="E47" t="s">
        <v>219</v>
      </c>
      <c r="F47" t="s">
        <v>19</v>
      </c>
      <c r="G47" t="s">
        <v>20</v>
      </c>
      <c r="H47" t="s">
        <v>21</v>
      </c>
      <c r="I47" t="s">
        <v>71</v>
      </c>
      <c r="J47">
        <v>4</v>
      </c>
      <c r="K47" s="4">
        <v>867.65</v>
      </c>
      <c r="L47" s="2">
        <v>3470.6</v>
      </c>
      <c r="M47">
        <v>0.15</v>
      </c>
      <c r="N47" s="4">
        <v>1039.1400000000001</v>
      </c>
      <c r="O47" t="s">
        <v>31</v>
      </c>
      <c r="P47">
        <v>7</v>
      </c>
    </row>
    <row r="48" spans="1:16" x14ac:dyDescent="0.35">
      <c r="A48" t="s">
        <v>220</v>
      </c>
      <c r="B48" s="10" t="s">
        <v>221</v>
      </c>
      <c r="C48" s="11" t="str">
        <f t="shared" si="0"/>
        <v>March</v>
      </c>
      <c r="D48" t="s">
        <v>222</v>
      </c>
      <c r="E48" t="s">
        <v>223</v>
      </c>
      <c r="F48" t="s">
        <v>36</v>
      </c>
      <c r="G48" t="s">
        <v>28</v>
      </c>
      <c r="H48" t="s">
        <v>29</v>
      </c>
      <c r="I48" t="s">
        <v>224</v>
      </c>
      <c r="J48">
        <v>9</v>
      </c>
      <c r="K48" s="4">
        <v>568.16999999999996</v>
      </c>
      <c r="L48" s="2">
        <v>5113.53</v>
      </c>
      <c r="M48">
        <v>0.2</v>
      </c>
      <c r="N48" s="4">
        <v>1842.18</v>
      </c>
      <c r="O48" t="s">
        <v>23</v>
      </c>
      <c r="P48">
        <v>9</v>
      </c>
    </row>
    <row r="49" spans="1:16" x14ac:dyDescent="0.35">
      <c r="A49" t="s">
        <v>225</v>
      </c>
      <c r="B49" s="10" t="s">
        <v>226</v>
      </c>
      <c r="C49" s="11" t="str">
        <f t="shared" si="0"/>
        <v>September</v>
      </c>
      <c r="D49" t="s">
        <v>227</v>
      </c>
      <c r="E49" t="s">
        <v>228</v>
      </c>
      <c r="F49" t="s">
        <v>19</v>
      </c>
      <c r="G49" t="s">
        <v>28</v>
      </c>
      <c r="H49" t="s">
        <v>21</v>
      </c>
      <c r="I49" t="s">
        <v>71</v>
      </c>
      <c r="J49">
        <v>6</v>
      </c>
      <c r="K49" s="4">
        <v>1141.05</v>
      </c>
      <c r="L49" s="2">
        <v>6846.3</v>
      </c>
      <c r="M49">
        <v>0.15</v>
      </c>
      <c r="N49" s="4">
        <v>1774.55</v>
      </c>
      <c r="O49" t="s">
        <v>31</v>
      </c>
      <c r="P49">
        <v>8</v>
      </c>
    </row>
    <row r="50" spans="1:16" x14ac:dyDescent="0.35">
      <c r="A50" t="s">
        <v>229</v>
      </c>
      <c r="B50" s="10" t="s">
        <v>230</v>
      </c>
      <c r="C50" s="11" t="str">
        <f t="shared" si="0"/>
        <v>September</v>
      </c>
      <c r="D50" t="s">
        <v>231</v>
      </c>
      <c r="E50" t="s">
        <v>232</v>
      </c>
      <c r="F50" t="s">
        <v>19</v>
      </c>
      <c r="G50" t="s">
        <v>37</v>
      </c>
      <c r="H50" t="s">
        <v>76</v>
      </c>
      <c r="I50" t="s">
        <v>87</v>
      </c>
      <c r="J50">
        <v>4</v>
      </c>
      <c r="K50" s="4">
        <v>1011.04</v>
      </c>
      <c r="L50" s="2">
        <v>4044.16</v>
      </c>
      <c r="M50">
        <v>0.1</v>
      </c>
      <c r="N50" s="4">
        <v>886.91</v>
      </c>
      <c r="O50" t="s">
        <v>39</v>
      </c>
      <c r="P50">
        <v>8</v>
      </c>
    </row>
    <row r="51" spans="1:16" x14ac:dyDescent="0.35">
      <c r="A51" t="s">
        <v>233</v>
      </c>
      <c r="B51" s="10" t="s">
        <v>89</v>
      </c>
      <c r="C51" s="11" t="str">
        <f t="shared" si="0"/>
        <v>October</v>
      </c>
      <c r="D51" t="s">
        <v>138</v>
      </c>
      <c r="E51" t="s">
        <v>234</v>
      </c>
      <c r="F51" t="s">
        <v>36</v>
      </c>
      <c r="G51" t="s">
        <v>37</v>
      </c>
      <c r="H51" t="s">
        <v>29</v>
      </c>
      <c r="I51" t="s">
        <v>62</v>
      </c>
      <c r="J51">
        <v>5</v>
      </c>
      <c r="K51" s="4">
        <v>296.7</v>
      </c>
      <c r="L51" s="2">
        <v>1483.5</v>
      </c>
      <c r="M51">
        <v>0.1</v>
      </c>
      <c r="N51" s="4">
        <v>563.59</v>
      </c>
      <c r="O51" t="s">
        <v>31</v>
      </c>
      <c r="P51">
        <v>7</v>
      </c>
    </row>
    <row r="52" spans="1:16" x14ac:dyDescent="0.35">
      <c r="A52" t="s">
        <v>235</v>
      </c>
      <c r="B52" s="10" t="s">
        <v>236</v>
      </c>
      <c r="C52" s="11" t="str">
        <f t="shared" si="0"/>
        <v>August</v>
      </c>
      <c r="D52" t="s">
        <v>237</v>
      </c>
      <c r="E52" t="s">
        <v>238</v>
      </c>
      <c r="F52" t="s">
        <v>36</v>
      </c>
      <c r="G52" t="s">
        <v>37</v>
      </c>
      <c r="H52" t="s">
        <v>21</v>
      </c>
      <c r="I52" t="s">
        <v>105</v>
      </c>
      <c r="J52">
        <v>4</v>
      </c>
      <c r="K52" s="4">
        <v>95.79</v>
      </c>
      <c r="L52" s="2">
        <v>383.16</v>
      </c>
      <c r="M52">
        <v>0.15</v>
      </c>
      <c r="N52" s="4">
        <v>136.02000000000001</v>
      </c>
      <c r="O52" t="s">
        <v>39</v>
      </c>
      <c r="P52">
        <v>7</v>
      </c>
    </row>
    <row r="53" spans="1:16" x14ac:dyDescent="0.35">
      <c r="A53" t="s">
        <v>239</v>
      </c>
      <c r="B53" s="10" t="s">
        <v>240</v>
      </c>
      <c r="C53" s="11" t="str">
        <f t="shared" si="0"/>
        <v>June</v>
      </c>
      <c r="D53" t="s">
        <v>241</v>
      </c>
      <c r="E53" t="s">
        <v>242</v>
      </c>
      <c r="F53" t="s">
        <v>44</v>
      </c>
      <c r="G53" t="s">
        <v>28</v>
      </c>
      <c r="H53" t="s">
        <v>21</v>
      </c>
      <c r="I53" t="s">
        <v>22</v>
      </c>
      <c r="J53">
        <v>10</v>
      </c>
      <c r="K53" s="4">
        <v>468.85</v>
      </c>
      <c r="L53" s="2">
        <v>4688.5</v>
      </c>
      <c r="M53">
        <v>0</v>
      </c>
      <c r="N53" s="4">
        <v>810.66</v>
      </c>
      <c r="O53" t="s">
        <v>23</v>
      </c>
      <c r="P53">
        <v>9</v>
      </c>
    </row>
    <row r="54" spans="1:16" x14ac:dyDescent="0.35">
      <c r="A54" t="s">
        <v>243</v>
      </c>
      <c r="B54" s="10" t="s">
        <v>244</v>
      </c>
      <c r="C54" s="11" t="str">
        <f t="shared" si="0"/>
        <v>July</v>
      </c>
      <c r="D54" t="s">
        <v>245</v>
      </c>
      <c r="E54" t="s">
        <v>246</v>
      </c>
      <c r="F54" t="s">
        <v>19</v>
      </c>
      <c r="G54" t="s">
        <v>28</v>
      </c>
      <c r="H54" t="s">
        <v>21</v>
      </c>
      <c r="I54" t="s">
        <v>105</v>
      </c>
      <c r="J54">
        <v>8</v>
      </c>
      <c r="K54" s="4">
        <v>278.92</v>
      </c>
      <c r="L54" s="2">
        <v>2231.36</v>
      </c>
      <c r="M54">
        <v>0.15</v>
      </c>
      <c r="N54" s="4">
        <v>674.72</v>
      </c>
      <c r="O54" t="s">
        <v>23</v>
      </c>
      <c r="P54">
        <v>3</v>
      </c>
    </row>
    <row r="55" spans="1:16" x14ac:dyDescent="0.35">
      <c r="A55" t="s">
        <v>247</v>
      </c>
      <c r="B55" s="10" t="s">
        <v>248</v>
      </c>
      <c r="C55" s="11" t="str">
        <f t="shared" si="0"/>
        <v>December</v>
      </c>
      <c r="D55" t="s">
        <v>249</v>
      </c>
      <c r="E55" t="s">
        <v>250</v>
      </c>
      <c r="F55" t="s">
        <v>36</v>
      </c>
      <c r="G55" t="s">
        <v>28</v>
      </c>
      <c r="H55" t="s">
        <v>76</v>
      </c>
      <c r="I55" t="s">
        <v>119</v>
      </c>
      <c r="J55">
        <v>10</v>
      </c>
      <c r="K55" s="4">
        <v>650.27</v>
      </c>
      <c r="L55" s="2">
        <v>6502.7</v>
      </c>
      <c r="M55">
        <v>0.15</v>
      </c>
      <c r="N55" s="4">
        <v>1731.39</v>
      </c>
      <c r="O55" t="s">
        <v>31</v>
      </c>
      <c r="P55">
        <v>8</v>
      </c>
    </row>
    <row r="56" spans="1:16" x14ac:dyDescent="0.35">
      <c r="A56" t="s">
        <v>251</v>
      </c>
      <c r="B56" s="10" t="s">
        <v>252</v>
      </c>
      <c r="C56" s="11" t="str">
        <f t="shared" si="0"/>
        <v>June</v>
      </c>
      <c r="D56" t="s">
        <v>253</v>
      </c>
      <c r="E56" t="s">
        <v>254</v>
      </c>
      <c r="F56" t="s">
        <v>44</v>
      </c>
      <c r="G56" t="s">
        <v>57</v>
      </c>
      <c r="H56" t="s">
        <v>29</v>
      </c>
      <c r="I56" t="s">
        <v>30</v>
      </c>
      <c r="J56">
        <v>5</v>
      </c>
      <c r="K56" s="4">
        <v>467.34</v>
      </c>
      <c r="L56" s="2">
        <v>2336.6999999999998</v>
      </c>
      <c r="M56">
        <v>0.05</v>
      </c>
      <c r="N56" s="4">
        <v>817.18</v>
      </c>
      <c r="O56" t="s">
        <v>39</v>
      </c>
      <c r="P56">
        <v>5</v>
      </c>
    </row>
    <row r="57" spans="1:16" x14ac:dyDescent="0.35">
      <c r="A57" t="s">
        <v>255</v>
      </c>
      <c r="B57" s="10" t="s">
        <v>256</v>
      </c>
      <c r="C57" s="11" t="str">
        <f t="shared" si="0"/>
        <v>June</v>
      </c>
      <c r="D57" t="s">
        <v>184</v>
      </c>
      <c r="E57" t="s">
        <v>257</v>
      </c>
      <c r="F57" t="s">
        <v>19</v>
      </c>
      <c r="G57" t="s">
        <v>20</v>
      </c>
      <c r="H57" t="s">
        <v>29</v>
      </c>
      <c r="I57" t="s">
        <v>45</v>
      </c>
      <c r="J57">
        <v>1</v>
      </c>
      <c r="K57" s="4">
        <v>903.85</v>
      </c>
      <c r="L57" s="2">
        <v>903.85</v>
      </c>
      <c r="M57">
        <v>0</v>
      </c>
      <c r="N57" s="4">
        <v>135.61000000000001</v>
      </c>
      <c r="O57" t="s">
        <v>23</v>
      </c>
      <c r="P57">
        <v>1</v>
      </c>
    </row>
    <row r="58" spans="1:16" x14ac:dyDescent="0.35">
      <c r="A58" t="s">
        <v>258</v>
      </c>
      <c r="B58" s="10" t="s">
        <v>259</v>
      </c>
      <c r="C58" s="11" t="str">
        <f t="shared" si="0"/>
        <v>March</v>
      </c>
      <c r="D58" t="s">
        <v>214</v>
      </c>
      <c r="E58" t="s">
        <v>260</v>
      </c>
      <c r="F58" t="s">
        <v>19</v>
      </c>
      <c r="G58" t="s">
        <v>20</v>
      </c>
      <c r="H58" t="s">
        <v>29</v>
      </c>
      <c r="I58" t="s">
        <v>224</v>
      </c>
      <c r="J58">
        <v>4</v>
      </c>
      <c r="K58" s="4">
        <v>1010.29</v>
      </c>
      <c r="L58" s="2">
        <v>4041.16</v>
      </c>
      <c r="M58">
        <v>0.2</v>
      </c>
      <c r="N58" s="4">
        <v>1581.05</v>
      </c>
      <c r="O58" t="s">
        <v>23</v>
      </c>
      <c r="P58">
        <v>4</v>
      </c>
    </row>
    <row r="59" spans="1:16" x14ac:dyDescent="0.35">
      <c r="A59" t="s">
        <v>261</v>
      </c>
      <c r="B59" s="10" t="s">
        <v>262</v>
      </c>
      <c r="C59" s="11" t="str">
        <f t="shared" si="0"/>
        <v>February</v>
      </c>
      <c r="D59" t="s">
        <v>90</v>
      </c>
      <c r="E59" t="s">
        <v>263</v>
      </c>
      <c r="F59" t="s">
        <v>36</v>
      </c>
      <c r="G59" t="s">
        <v>57</v>
      </c>
      <c r="H59" t="s">
        <v>76</v>
      </c>
      <c r="I59" t="s">
        <v>87</v>
      </c>
      <c r="J59">
        <v>6</v>
      </c>
      <c r="K59" s="4">
        <v>217.99</v>
      </c>
      <c r="L59" s="2">
        <v>1307.94</v>
      </c>
      <c r="M59">
        <v>0.2</v>
      </c>
      <c r="N59" s="4">
        <v>172.13</v>
      </c>
      <c r="O59" t="s">
        <v>31</v>
      </c>
      <c r="P59">
        <v>10</v>
      </c>
    </row>
    <row r="60" spans="1:16" x14ac:dyDescent="0.35">
      <c r="A60" t="s">
        <v>264</v>
      </c>
      <c r="B60" s="10" t="s">
        <v>265</v>
      </c>
      <c r="C60" s="11" t="str">
        <f t="shared" si="0"/>
        <v>April</v>
      </c>
      <c r="D60" t="s">
        <v>266</v>
      </c>
      <c r="E60" t="s">
        <v>267</v>
      </c>
      <c r="F60" t="s">
        <v>19</v>
      </c>
      <c r="G60" t="s">
        <v>37</v>
      </c>
      <c r="H60" t="s">
        <v>29</v>
      </c>
      <c r="I60" t="s">
        <v>110</v>
      </c>
      <c r="J60">
        <v>10</v>
      </c>
      <c r="K60" s="4">
        <v>819.27</v>
      </c>
      <c r="L60" s="2">
        <v>8192.7000000000007</v>
      </c>
      <c r="M60">
        <v>0.15</v>
      </c>
      <c r="N60" s="4">
        <v>2725.2</v>
      </c>
      <c r="O60" t="s">
        <v>31</v>
      </c>
      <c r="P60">
        <v>5</v>
      </c>
    </row>
    <row r="61" spans="1:16" x14ac:dyDescent="0.35">
      <c r="A61" t="s">
        <v>268</v>
      </c>
      <c r="B61" s="10" t="s">
        <v>269</v>
      </c>
      <c r="C61" s="11" t="str">
        <f t="shared" si="0"/>
        <v>June</v>
      </c>
      <c r="D61" t="s">
        <v>270</v>
      </c>
      <c r="E61" t="s">
        <v>271</v>
      </c>
      <c r="F61" t="s">
        <v>44</v>
      </c>
      <c r="G61" t="s">
        <v>57</v>
      </c>
      <c r="H61" t="s">
        <v>21</v>
      </c>
      <c r="I61" t="s">
        <v>71</v>
      </c>
      <c r="J61">
        <v>2</v>
      </c>
      <c r="K61" s="4">
        <v>959.55</v>
      </c>
      <c r="L61" s="2">
        <v>1919.1</v>
      </c>
      <c r="M61">
        <v>0.2</v>
      </c>
      <c r="N61" s="4">
        <v>363.78</v>
      </c>
      <c r="O61" t="s">
        <v>31</v>
      </c>
      <c r="P61">
        <v>9</v>
      </c>
    </row>
    <row r="62" spans="1:16" x14ac:dyDescent="0.35">
      <c r="A62" t="s">
        <v>272</v>
      </c>
      <c r="B62" s="10" t="s">
        <v>273</v>
      </c>
      <c r="C62" s="11" t="str">
        <f t="shared" si="0"/>
        <v>July</v>
      </c>
      <c r="D62" t="s">
        <v>159</v>
      </c>
      <c r="E62" t="s">
        <v>274</v>
      </c>
      <c r="F62" t="s">
        <v>44</v>
      </c>
      <c r="G62" t="s">
        <v>37</v>
      </c>
      <c r="H62" t="s">
        <v>21</v>
      </c>
      <c r="I62" t="s">
        <v>38</v>
      </c>
      <c r="J62">
        <v>1</v>
      </c>
      <c r="K62" s="4">
        <v>1022.5</v>
      </c>
      <c r="L62" s="2">
        <v>1022.5</v>
      </c>
      <c r="M62">
        <v>0.15</v>
      </c>
      <c r="N62" s="4">
        <v>441.33</v>
      </c>
      <c r="O62" t="s">
        <v>39</v>
      </c>
      <c r="P62">
        <v>3</v>
      </c>
    </row>
    <row r="63" spans="1:16" x14ac:dyDescent="0.35">
      <c r="A63" t="s">
        <v>275</v>
      </c>
      <c r="B63" s="10" t="s">
        <v>236</v>
      </c>
      <c r="C63" s="11" t="str">
        <f t="shared" si="0"/>
        <v>August</v>
      </c>
      <c r="D63" t="s">
        <v>191</v>
      </c>
      <c r="E63" t="s">
        <v>276</v>
      </c>
      <c r="F63" t="s">
        <v>19</v>
      </c>
      <c r="G63" t="s">
        <v>57</v>
      </c>
      <c r="H63" t="s">
        <v>21</v>
      </c>
      <c r="I63" t="s">
        <v>71</v>
      </c>
      <c r="J63">
        <v>5</v>
      </c>
      <c r="K63" s="4">
        <v>746.78</v>
      </c>
      <c r="L63" s="2">
        <v>3733.9</v>
      </c>
      <c r="M63">
        <v>0.2</v>
      </c>
      <c r="N63" s="4">
        <v>717.34</v>
      </c>
      <c r="O63" t="s">
        <v>39</v>
      </c>
      <c r="P63">
        <v>4</v>
      </c>
    </row>
    <row r="64" spans="1:16" x14ac:dyDescent="0.35">
      <c r="A64" t="s">
        <v>277</v>
      </c>
      <c r="B64" s="10" t="s">
        <v>278</v>
      </c>
      <c r="C64" s="11" t="str">
        <f t="shared" si="0"/>
        <v>December</v>
      </c>
      <c r="D64" t="s">
        <v>130</v>
      </c>
      <c r="E64" t="s">
        <v>279</v>
      </c>
      <c r="F64" t="s">
        <v>44</v>
      </c>
      <c r="G64" t="s">
        <v>20</v>
      </c>
      <c r="H64" t="s">
        <v>29</v>
      </c>
      <c r="I64" t="s">
        <v>110</v>
      </c>
      <c r="J64">
        <v>8</v>
      </c>
      <c r="K64" s="4">
        <v>307.76</v>
      </c>
      <c r="L64" s="2">
        <v>2462.08</v>
      </c>
      <c r="M64">
        <v>0.15</v>
      </c>
      <c r="N64" s="4">
        <v>674</v>
      </c>
      <c r="O64" t="s">
        <v>39</v>
      </c>
      <c r="P64">
        <v>6</v>
      </c>
    </row>
    <row r="65" spans="1:16" x14ac:dyDescent="0.35">
      <c r="A65" t="s">
        <v>280</v>
      </c>
      <c r="B65" s="10" t="s">
        <v>281</v>
      </c>
      <c r="C65" s="11" t="str">
        <f t="shared" si="0"/>
        <v>November</v>
      </c>
      <c r="D65" t="s">
        <v>282</v>
      </c>
      <c r="E65" t="s">
        <v>283</v>
      </c>
      <c r="F65" t="s">
        <v>44</v>
      </c>
      <c r="G65" t="s">
        <v>20</v>
      </c>
      <c r="H65" t="s">
        <v>29</v>
      </c>
      <c r="I65" t="s">
        <v>45</v>
      </c>
      <c r="J65">
        <v>4</v>
      </c>
      <c r="K65" s="4">
        <v>438.69</v>
      </c>
      <c r="L65" s="2">
        <v>1754.76</v>
      </c>
      <c r="M65">
        <v>0.1</v>
      </c>
      <c r="N65" s="4">
        <v>653.61</v>
      </c>
      <c r="O65" t="s">
        <v>23</v>
      </c>
      <c r="P65">
        <v>4</v>
      </c>
    </row>
    <row r="66" spans="1:16" x14ac:dyDescent="0.35">
      <c r="A66" t="s">
        <v>284</v>
      </c>
      <c r="B66" s="10" t="s">
        <v>285</v>
      </c>
      <c r="C66" s="11" t="str">
        <f t="shared" si="0"/>
        <v>November</v>
      </c>
      <c r="D66" t="s">
        <v>286</v>
      </c>
      <c r="E66" t="s">
        <v>287</v>
      </c>
      <c r="F66" t="s">
        <v>44</v>
      </c>
      <c r="G66" t="s">
        <v>28</v>
      </c>
      <c r="H66" t="s">
        <v>29</v>
      </c>
      <c r="I66" t="s">
        <v>224</v>
      </c>
      <c r="J66">
        <v>7</v>
      </c>
      <c r="K66" s="4">
        <v>596.52</v>
      </c>
      <c r="L66" s="2">
        <v>4175.6400000000003</v>
      </c>
      <c r="M66">
        <v>0.05</v>
      </c>
      <c r="N66" s="4">
        <v>1085.95</v>
      </c>
      <c r="O66" t="s">
        <v>31</v>
      </c>
      <c r="P66">
        <v>2</v>
      </c>
    </row>
    <row r="67" spans="1:16" x14ac:dyDescent="0.35">
      <c r="A67" t="s">
        <v>288</v>
      </c>
      <c r="B67" s="10" t="s">
        <v>289</v>
      </c>
      <c r="C67" s="11" t="str">
        <f t="shared" ref="C67:C130" si="1">TEXT(B67,"MMMM")</f>
        <v>July</v>
      </c>
      <c r="D67" t="s">
        <v>214</v>
      </c>
      <c r="E67" t="s">
        <v>290</v>
      </c>
      <c r="F67" t="s">
        <v>19</v>
      </c>
      <c r="G67" t="s">
        <v>57</v>
      </c>
      <c r="H67" t="s">
        <v>76</v>
      </c>
      <c r="I67" t="s">
        <v>119</v>
      </c>
      <c r="J67">
        <v>7</v>
      </c>
      <c r="K67" s="4">
        <v>836.31</v>
      </c>
      <c r="L67" s="2">
        <v>5854.17</v>
      </c>
      <c r="M67">
        <v>0.1</v>
      </c>
      <c r="N67" s="4">
        <v>1498.52</v>
      </c>
      <c r="O67" t="s">
        <v>39</v>
      </c>
      <c r="P67">
        <v>9</v>
      </c>
    </row>
    <row r="68" spans="1:16" x14ac:dyDescent="0.35">
      <c r="A68" t="s">
        <v>291</v>
      </c>
      <c r="B68" s="10" t="s">
        <v>292</v>
      </c>
      <c r="C68" s="11" t="str">
        <f t="shared" si="1"/>
        <v>April</v>
      </c>
      <c r="D68" t="s">
        <v>60</v>
      </c>
      <c r="E68" t="s">
        <v>293</v>
      </c>
      <c r="F68" t="s">
        <v>36</v>
      </c>
      <c r="G68" t="s">
        <v>37</v>
      </c>
      <c r="H68" t="s">
        <v>76</v>
      </c>
      <c r="I68" t="s">
        <v>87</v>
      </c>
      <c r="J68">
        <v>8</v>
      </c>
      <c r="K68" s="4">
        <v>339.68</v>
      </c>
      <c r="L68" s="2">
        <v>2717.44</v>
      </c>
      <c r="M68">
        <v>0.1</v>
      </c>
      <c r="N68" s="4">
        <v>1119.5999999999999</v>
      </c>
      <c r="O68" t="s">
        <v>31</v>
      </c>
      <c r="P68">
        <v>4</v>
      </c>
    </row>
    <row r="69" spans="1:16" x14ac:dyDescent="0.35">
      <c r="A69" t="s">
        <v>294</v>
      </c>
      <c r="B69" s="10" t="s">
        <v>149</v>
      </c>
      <c r="C69" s="11" t="str">
        <f t="shared" si="1"/>
        <v>February</v>
      </c>
      <c r="D69" t="s">
        <v>295</v>
      </c>
      <c r="E69" t="s">
        <v>296</v>
      </c>
      <c r="F69" t="s">
        <v>44</v>
      </c>
      <c r="G69" t="s">
        <v>37</v>
      </c>
      <c r="H69" t="s">
        <v>21</v>
      </c>
      <c r="I69" t="s">
        <v>82</v>
      </c>
      <c r="J69">
        <v>5</v>
      </c>
      <c r="K69" s="4">
        <v>875.01</v>
      </c>
      <c r="L69" s="2">
        <v>4375.05</v>
      </c>
      <c r="M69">
        <v>0.2</v>
      </c>
      <c r="N69" s="4">
        <v>1089.51</v>
      </c>
      <c r="O69" t="s">
        <v>39</v>
      </c>
      <c r="P69">
        <v>3</v>
      </c>
    </row>
    <row r="70" spans="1:16" x14ac:dyDescent="0.35">
      <c r="A70" t="s">
        <v>297</v>
      </c>
      <c r="B70" s="10" t="s">
        <v>298</v>
      </c>
      <c r="C70" s="11" t="str">
        <f t="shared" si="1"/>
        <v>October</v>
      </c>
      <c r="D70" t="s">
        <v>299</v>
      </c>
      <c r="E70" t="s">
        <v>300</v>
      </c>
      <c r="F70" t="s">
        <v>19</v>
      </c>
      <c r="G70" t="s">
        <v>37</v>
      </c>
      <c r="H70" t="s">
        <v>76</v>
      </c>
      <c r="I70" t="s">
        <v>77</v>
      </c>
      <c r="J70">
        <v>9</v>
      </c>
      <c r="K70" s="4">
        <v>169.37</v>
      </c>
      <c r="L70" s="2">
        <v>1524.33</v>
      </c>
      <c r="M70">
        <v>0</v>
      </c>
      <c r="N70" s="4">
        <v>244.32</v>
      </c>
      <c r="O70" t="s">
        <v>23</v>
      </c>
      <c r="P70">
        <v>8</v>
      </c>
    </row>
    <row r="71" spans="1:16" x14ac:dyDescent="0.35">
      <c r="A71" t="s">
        <v>301</v>
      </c>
      <c r="B71" s="10" t="s">
        <v>302</v>
      </c>
      <c r="C71" s="11" t="str">
        <f t="shared" si="1"/>
        <v>April</v>
      </c>
      <c r="D71" t="s">
        <v>303</v>
      </c>
      <c r="E71" t="s">
        <v>304</v>
      </c>
      <c r="F71" t="s">
        <v>44</v>
      </c>
      <c r="G71" t="s">
        <v>28</v>
      </c>
      <c r="H71" t="s">
        <v>29</v>
      </c>
      <c r="I71" t="s">
        <v>30</v>
      </c>
      <c r="J71">
        <v>10</v>
      </c>
      <c r="K71" s="4">
        <v>355.52</v>
      </c>
      <c r="L71" s="2">
        <v>3555.2</v>
      </c>
      <c r="M71">
        <v>0.15</v>
      </c>
      <c r="N71" s="4">
        <v>1129.6300000000001</v>
      </c>
      <c r="O71" t="s">
        <v>31</v>
      </c>
      <c r="P71">
        <v>2</v>
      </c>
    </row>
    <row r="72" spans="1:16" x14ac:dyDescent="0.35">
      <c r="A72" t="s">
        <v>305</v>
      </c>
      <c r="B72" s="10" t="s">
        <v>306</v>
      </c>
      <c r="C72" s="11" t="str">
        <f t="shared" si="1"/>
        <v>March</v>
      </c>
      <c r="D72" t="s">
        <v>307</v>
      </c>
      <c r="E72" t="s">
        <v>308</v>
      </c>
      <c r="F72" t="s">
        <v>44</v>
      </c>
      <c r="G72" t="s">
        <v>20</v>
      </c>
      <c r="H72" t="s">
        <v>76</v>
      </c>
      <c r="I72" t="s">
        <v>128</v>
      </c>
      <c r="J72">
        <v>2</v>
      </c>
      <c r="K72" s="4">
        <v>700.88</v>
      </c>
      <c r="L72" s="2">
        <v>1401.76</v>
      </c>
      <c r="M72">
        <v>0.3</v>
      </c>
      <c r="N72" s="4">
        <v>518.64</v>
      </c>
      <c r="O72" t="s">
        <v>31</v>
      </c>
      <c r="P72">
        <v>2</v>
      </c>
    </row>
    <row r="73" spans="1:16" x14ac:dyDescent="0.35">
      <c r="A73" t="s">
        <v>309</v>
      </c>
      <c r="B73" s="10" t="s">
        <v>310</v>
      </c>
      <c r="C73" s="11" t="str">
        <f t="shared" si="1"/>
        <v>September</v>
      </c>
      <c r="D73" t="s">
        <v>130</v>
      </c>
      <c r="E73" t="s">
        <v>311</v>
      </c>
      <c r="F73" t="s">
        <v>44</v>
      </c>
      <c r="G73" t="s">
        <v>28</v>
      </c>
      <c r="H73" t="s">
        <v>21</v>
      </c>
      <c r="I73" t="s">
        <v>82</v>
      </c>
      <c r="J73">
        <v>10</v>
      </c>
      <c r="K73" s="4">
        <v>723.43</v>
      </c>
      <c r="L73" s="2">
        <v>7234.3</v>
      </c>
      <c r="M73">
        <v>0.2</v>
      </c>
      <c r="N73" s="4">
        <v>2660.63</v>
      </c>
      <c r="O73" t="s">
        <v>39</v>
      </c>
      <c r="P73">
        <v>10</v>
      </c>
    </row>
    <row r="74" spans="1:16" x14ac:dyDescent="0.35">
      <c r="A74" t="s">
        <v>312</v>
      </c>
      <c r="B74" s="10" t="s">
        <v>313</v>
      </c>
      <c r="C74" s="11" t="str">
        <f t="shared" si="1"/>
        <v>February</v>
      </c>
      <c r="D74" t="s">
        <v>314</v>
      </c>
      <c r="E74" t="s">
        <v>315</v>
      </c>
      <c r="F74" t="s">
        <v>36</v>
      </c>
      <c r="G74" t="s">
        <v>37</v>
      </c>
      <c r="H74" t="s">
        <v>76</v>
      </c>
      <c r="I74" t="s">
        <v>87</v>
      </c>
      <c r="J74">
        <v>10</v>
      </c>
      <c r="K74" s="4">
        <v>752.81</v>
      </c>
      <c r="L74" s="2">
        <v>7528.1</v>
      </c>
      <c r="M74">
        <v>0.2</v>
      </c>
      <c r="N74" s="4">
        <v>999.47</v>
      </c>
      <c r="O74" t="s">
        <v>39</v>
      </c>
      <c r="P74">
        <v>2</v>
      </c>
    </row>
    <row r="75" spans="1:16" x14ac:dyDescent="0.35">
      <c r="A75" t="s">
        <v>316</v>
      </c>
      <c r="B75" s="10" t="s">
        <v>317</v>
      </c>
      <c r="C75" s="11" t="str">
        <f t="shared" si="1"/>
        <v>August</v>
      </c>
      <c r="D75" t="s">
        <v>318</v>
      </c>
      <c r="E75" t="s">
        <v>319</v>
      </c>
      <c r="F75" t="s">
        <v>19</v>
      </c>
      <c r="G75" t="s">
        <v>28</v>
      </c>
      <c r="H75" t="s">
        <v>29</v>
      </c>
      <c r="I75" t="s">
        <v>224</v>
      </c>
      <c r="J75">
        <v>3</v>
      </c>
      <c r="K75" s="4">
        <v>671.35</v>
      </c>
      <c r="L75" s="2">
        <v>2014.05</v>
      </c>
      <c r="M75">
        <v>0.05</v>
      </c>
      <c r="N75" s="4">
        <v>1050.29</v>
      </c>
      <c r="O75" t="s">
        <v>39</v>
      </c>
      <c r="P75">
        <v>1</v>
      </c>
    </row>
    <row r="76" spans="1:16" x14ac:dyDescent="0.35">
      <c r="A76" t="s">
        <v>320</v>
      </c>
      <c r="B76" s="10" t="s">
        <v>321</v>
      </c>
      <c r="C76" s="11" t="str">
        <f t="shared" si="1"/>
        <v>April</v>
      </c>
      <c r="D76" t="s">
        <v>98</v>
      </c>
      <c r="E76" t="s">
        <v>322</v>
      </c>
      <c r="F76" t="s">
        <v>19</v>
      </c>
      <c r="G76" t="s">
        <v>37</v>
      </c>
      <c r="H76" t="s">
        <v>29</v>
      </c>
      <c r="I76" t="s">
        <v>110</v>
      </c>
      <c r="J76">
        <v>5</v>
      </c>
      <c r="K76" s="4">
        <v>849.53</v>
      </c>
      <c r="L76" s="2">
        <v>4247.6499999999996</v>
      </c>
      <c r="M76">
        <v>0.15</v>
      </c>
      <c r="N76" s="4">
        <v>1882.98</v>
      </c>
      <c r="O76" t="s">
        <v>39</v>
      </c>
      <c r="P76">
        <v>2</v>
      </c>
    </row>
    <row r="77" spans="1:16" x14ac:dyDescent="0.35">
      <c r="A77" t="s">
        <v>323</v>
      </c>
      <c r="B77" s="10" t="s">
        <v>97</v>
      </c>
      <c r="C77" s="11" t="str">
        <f t="shared" si="1"/>
        <v>March</v>
      </c>
      <c r="D77" t="s">
        <v>324</v>
      </c>
      <c r="E77" t="s">
        <v>325</v>
      </c>
      <c r="F77" t="s">
        <v>19</v>
      </c>
      <c r="G77" t="s">
        <v>57</v>
      </c>
      <c r="H77" t="s">
        <v>21</v>
      </c>
      <c r="I77" t="s">
        <v>105</v>
      </c>
      <c r="J77">
        <v>3</v>
      </c>
      <c r="K77" s="4">
        <v>1091.93</v>
      </c>
      <c r="L77" s="2">
        <v>3275.79</v>
      </c>
      <c r="M77">
        <v>0.05</v>
      </c>
      <c r="N77" s="4">
        <v>1622.71</v>
      </c>
      <c r="O77" t="s">
        <v>39</v>
      </c>
      <c r="P77">
        <v>2</v>
      </c>
    </row>
    <row r="78" spans="1:16" x14ac:dyDescent="0.35">
      <c r="A78" t="s">
        <v>326</v>
      </c>
      <c r="B78" s="10" t="s">
        <v>102</v>
      </c>
      <c r="C78" s="11" t="str">
        <f t="shared" si="1"/>
        <v>August</v>
      </c>
      <c r="D78" t="s">
        <v>138</v>
      </c>
      <c r="E78" t="s">
        <v>327</v>
      </c>
      <c r="F78" t="s">
        <v>19</v>
      </c>
      <c r="G78" t="s">
        <v>20</v>
      </c>
      <c r="H78" t="s">
        <v>76</v>
      </c>
      <c r="I78" t="s">
        <v>87</v>
      </c>
      <c r="J78">
        <v>7</v>
      </c>
      <c r="K78" s="4">
        <v>1132.3599999999999</v>
      </c>
      <c r="L78" s="2">
        <v>7926.52</v>
      </c>
      <c r="M78">
        <v>0.2</v>
      </c>
      <c r="N78" s="4">
        <v>2118.0100000000002</v>
      </c>
      <c r="O78" t="s">
        <v>39</v>
      </c>
      <c r="P78">
        <v>6</v>
      </c>
    </row>
    <row r="79" spans="1:16" x14ac:dyDescent="0.35">
      <c r="A79" t="s">
        <v>328</v>
      </c>
      <c r="B79" s="10" t="s">
        <v>329</v>
      </c>
      <c r="C79" s="11" t="str">
        <f t="shared" si="1"/>
        <v>October</v>
      </c>
      <c r="D79" t="s">
        <v>330</v>
      </c>
      <c r="E79" t="s">
        <v>331</v>
      </c>
      <c r="F79" t="s">
        <v>36</v>
      </c>
      <c r="G79" t="s">
        <v>57</v>
      </c>
      <c r="H79" t="s">
        <v>21</v>
      </c>
      <c r="I79" t="s">
        <v>38</v>
      </c>
      <c r="J79">
        <v>1</v>
      </c>
      <c r="K79" s="4">
        <v>127.77</v>
      </c>
      <c r="L79" s="2">
        <v>127.77</v>
      </c>
      <c r="M79">
        <v>0.3</v>
      </c>
      <c r="N79" s="4">
        <v>19.28</v>
      </c>
      <c r="O79" t="s">
        <v>23</v>
      </c>
      <c r="P79">
        <v>1</v>
      </c>
    </row>
    <row r="80" spans="1:16" x14ac:dyDescent="0.35">
      <c r="A80" t="s">
        <v>332</v>
      </c>
      <c r="B80" s="10" t="s">
        <v>333</v>
      </c>
      <c r="C80" s="11" t="str">
        <f t="shared" si="1"/>
        <v>October</v>
      </c>
      <c r="D80" t="s">
        <v>191</v>
      </c>
      <c r="E80" t="s">
        <v>334</v>
      </c>
      <c r="F80" t="s">
        <v>19</v>
      </c>
      <c r="G80" t="s">
        <v>28</v>
      </c>
      <c r="H80" t="s">
        <v>29</v>
      </c>
      <c r="I80" t="s">
        <v>45</v>
      </c>
      <c r="J80">
        <v>9</v>
      </c>
      <c r="K80" s="4">
        <v>788.78</v>
      </c>
      <c r="L80" s="2">
        <v>7099.02</v>
      </c>
      <c r="M80">
        <v>0.1</v>
      </c>
      <c r="N80" s="4">
        <v>3050.19</v>
      </c>
      <c r="O80" t="s">
        <v>31</v>
      </c>
      <c r="P80">
        <v>8</v>
      </c>
    </row>
    <row r="81" spans="1:16" x14ac:dyDescent="0.35">
      <c r="A81" t="s">
        <v>335</v>
      </c>
      <c r="B81" s="10" t="s">
        <v>336</v>
      </c>
      <c r="C81" s="11" t="str">
        <f t="shared" si="1"/>
        <v>June</v>
      </c>
      <c r="D81" t="s">
        <v>337</v>
      </c>
      <c r="E81" t="s">
        <v>338</v>
      </c>
      <c r="F81" t="s">
        <v>19</v>
      </c>
      <c r="G81" t="s">
        <v>28</v>
      </c>
      <c r="H81" t="s">
        <v>76</v>
      </c>
      <c r="I81" t="s">
        <v>128</v>
      </c>
      <c r="J81">
        <v>6</v>
      </c>
      <c r="K81" s="4">
        <v>398.85</v>
      </c>
      <c r="L81" s="2">
        <v>2393.1</v>
      </c>
      <c r="M81">
        <v>0</v>
      </c>
      <c r="N81" s="4">
        <v>495.15</v>
      </c>
      <c r="O81" t="s">
        <v>39</v>
      </c>
      <c r="P81">
        <v>7</v>
      </c>
    </row>
    <row r="82" spans="1:16" x14ac:dyDescent="0.35">
      <c r="A82" t="s">
        <v>339</v>
      </c>
      <c r="B82" s="10" t="s">
        <v>340</v>
      </c>
      <c r="C82" s="11" t="str">
        <f t="shared" si="1"/>
        <v>July</v>
      </c>
      <c r="D82" t="s">
        <v>341</v>
      </c>
      <c r="E82" t="s">
        <v>342</v>
      </c>
      <c r="F82" t="s">
        <v>36</v>
      </c>
      <c r="G82" t="s">
        <v>28</v>
      </c>
      <c r="H82" t="s">
        <v>21</v>
      </c>
      <c r="I82" t="s">
        <v>22</v>
      </c>
      <c r="J82">
        <v>8</v>
      </c>
      <c r="K82" s="4">
        <v>123.91</v>
      </c>
      <c r="L82" s="2">
        <v>991.28</v>
      </c>
      <c r="M82">
        <v>0.1</v>
      </c>
      <c r="N82" s="4">
        <v>375.32</v>
      </c>
      <c r="O82" t="s">
        <v>39</v>
      </c>
      <c r="P82">
        <v>1</v>
      </c>
    </row>
    <row r="83" spans="1:16" x14ac:dyDescent="0.35">
      <c r="A83" t="s">
        <v>343</v>
      </c>
      <c r="B83" s="10" t="s">
        <v>344</v>
      </c>
      <c r="C83" s="11" t="str">
        <f t="shared" si="1"/>
        <v>January</v>
      </c>
      <c r="D83" t="s">
        <v>345</v>
      </c>
      <c r="E83" t="s">
        <v>346</v>
      </c>
      <c r="F83" t="s">
        <v>44</v>
      </c>
      <c r="G83" t="s">
        <v>37</v>
      </c>
      <c r="H83" t="s">
        <v>29</v>
      </c>
      <c r="I83" t="s">
        <v>100</v>
      </c>
      <c r="J83">
        <v>6</v>
      </c>
      <c r="K83" s="4">
        <v>754.71</v>
      </c>
      <c r="L83" s="2">
        <v>4528.26</v>
      </c>
      <c r="M83">
        <v>0.15</v>
      </c>
      <c r="N83" s="4">
        <v>1154.08</v>
      </c>
      <c r="O83" t="s">
        <v>39</v>
      </c>
      <c r="P83">
        <v>8</v>
      </c>
    </row>
    <row r="84" spans="1:16" x14ac:dyDescent="0.35">
      <c r="A84" t="s">
        <v>347</v>
      </c>
      <c r="B84" s="10" t="s">
        <v>348</v>
      </c>
      <c r="C84" s="11" t="str">
        <f t="shared" si="1"/>
        <v>May</v>
      </c>
      <c r="D84" t="s">
        <v>349</v>
      </c>
      <c r="E84" t="s">
        <v>350</v>
      </c>
      <c r="F84" t="s">
        <v>36</v>
      </c>
      <c r="G84" t="s">
        <v>57</v>
      </c>
      <c r="H84" t="s">
        <v>21</v>
      </c>
      <c r="I84" t="s">
        <v>82</v>
      </c>
      <c r="J84">
        <v>2</v>
      </c>
      <c r="K84" s="4">
        <v>54.07</v>
      </c>
      <c r="L84" s="2">
        <v>108.14</v>
      </c>
      <c r="M84">
        <v>0.3</v>
      </c>
      <c r="N84" s="4">
        <v>23.2</v>
      </c>
      <c r="O84" t="s">
        <v>23</v>
      </c>
      <c r="P84">
        <v>1</v>
      </c>
    </row>
    <row r="85" spans="1:16" x14ac:dyDescent="0.35">
      <c r="A85" t="s">
        <v>351</v>
      </c>
      <c r="B85" s="10" t="s">
        <v>352</v>
      </c>
      <c r="C85" s="11" t="str">
        <f t="shared" si="1"/>
        <v>March</v>
      </c>
      <c r="D85" t="s">
        <v>353</v>
      </c>
      <c r="E85" t="s">
        <v>354</v>
      </c>
      <c r="F85" t="s">
        <v>36</v>
      </c>
      <c r="G85" t="s">
        <v>28</v>
      </c>
      <c r="H85" t="s">
        <v>21</v>
      </c>
      <c r="I85" t="s">
        <v>82</v>
      </c>
      <c r="J85">
        <v>2</v>
      </c>
      <c r="K85" s="4">
        <v>285.14999999999998</v>
      </c>
      <c r="L85" s="2">
        <v>570.29999999999995</v>
      </c>
      <c r="M85">
        <v>0</v>
      </c>
      <c r="N85" s="4">
        <v>208.4</v>
      </c>
      <c r="O85" t="s">
        <v>23</v>
      </c>
      <c r="P85">
        <v>5</v>
      </c>
    </row>
    <row r="86" spans="1:16" x14ac:dyDescent="0.35">
      <c r="A86" t="s">
        <v>355</v>
      </c>
      <c r="B86" s="10" t="s">
        <v>356</v>
      </c>
      <c r="C86" s="11" t="str">
        <f t="shared" si="1"/>
        <v>October</v>
      </c>
      <c r="D86" t="s">
        <v>218</v>
      </c>
      <c r="E86" t="s">
        <v>357</v>
      </c>
      <c r="F86" t="s">
        <v>44</v>
      </c>
      <c r="G86" t="s">
        <v>37</v>
      </c>
      <c r="H86" t="s">
        <v>21</v>
      </c>
      <c r="I86" t="s">
        <v>38</v>
      </c>
      <c r="J86">
        <v>7</v>
      </c>
      <c r="K86" s="4">
        <v>1004.97</v>
      </c>
      <c r="L86" s="2">
        <v>7034.79</v>
      </c>
      <c r="M86">
        <v>0.15</v>
      </c>
      <c r="N86" s="4">
        <v>2705.8</v>
      </c>
      <c r="O86" t="s">
        <v>23</v>
      </c>
      <c r="P86">
        <v>9</v>
      </c>
    </row>
    <row r="87" spans="1:16" x14ac:dyDescent="0.35">
      <c r="A87" t="s">
        <v>358</v>
      </c>
      <c r="B87" s="10" t="s">
        <v>359</v>
      </c>
      <c r="C87" s="11" t="str">
        <f t="shared" si="1"/>
        <v>September</v>
      </c>
      <c r="D87" t="s">
        <v>360</v>
      </c>
      <c r="E87" t="s">
        <v>361</v>
      </c>
      <c r="F87" t="s">
        <v>36</v>
      </c>
      <c r="G87" t="s">
        <v>57</v>
      </c>
      <c r="H87" t="s">
        <v>21</v>
      </c>
      <c r="I87" t="s">
        <v>105</v>
      </c>
      <c r="J87">
        <v>2</v>
      </c>
      <c r="K87" s="4">
        <v>345.97</v>
      </c>
      <c r="L87" s="2">
        <v>691.94</v>
      </c>
      <c r="M87">
        <v>0.15</v>
      </c>
      <c r="N87" s="4">
        <v>243.52</v>
      </c>
      <c r="O87" t="s">
        <v>23</v>
      </c>
      <c r="P87">
        <v>5</v>
      </c>
    </row>
    <row r="88" spans="1:16" x14ac:dyDescent="0.35">
      <c r="A88" t="s">
        <v>362</v>
      </c>
      <c r="B88" s="10" t="s">
        <v>363</v>
      </c>
      <c r="C88" s="11" t="str">
        <f t="shared" si="1"/>
        <v>June</v>
      </c>
      <c r="D88" t="s">
        <v>364</v>
      </c>
      <c r="E88" t="s">
        <v>365</v>
      </c>
      <c r="F88" t="s">
        <v>19</v>
      </c>
      <c r="G88" t="s">
        <v>28</v>
      </c>
      <c r="H88" t="s">
        <v>21</v>
      </c>
      <c r="I88" t="s">
        <v>71</v>
      </c>
      <c r="J88">
        <v>8</v>
      </c>
      <c r="K88" s="4">
        <v>1041.01</v>
      </c>
      <c r="L88" s="2">
        <v>8328.08</v>
      </c>
      <c r="M88">
        <v>0.15</v>
      </c>
      <c r="N88" s="4">
        <v>2368.36</v>
      </c>
      <c r="O88" t="s">
        <v>39</v>
      </c>
      <c r="P88">
        <v>6</v>
      </c>
    </row>
    <row r="89" spans="1:16" x14ac:dyDescent="0.35">
      <c r="A89" t="s">
        <v>366</v>
      </c>
      <c r="B89" s="10" t="s">
        <v>116</v>
      </c>
      <c r="C89" s="11" t="str">
        <f t="shared" si="1"/>
        <v>July</v>
      </c>
      <c r="D89" t="s">
        <v>367</v>
      </c>
      <c r="E89" t="s">
        <v>368</v>
      </c>
      <c r="F89" t="s">
        <v>44</v>
      </c>
      <c r="G89" t="s">
        <v>28</v>
      </c>
      <c r="H89" t="s">
        <v>29</v>
      </c>
      <c r="I89" t="s">
        <v>62</v>
      </c>
      <c r="J89">
        <v>4</v>
      </c>
      <c r="K89" s="4">
        <v>694.72</v>
      </c>
      <c r="L89" s="2">
        <v>2778.88</v>
      </c>
      <c r="M89">
        <v>0.05</v>
      </c>
      <c r="N89" s="4">
        <v>548.04</v>
      </c>
      <c r="O89" t="s">
        <v>23</v>
      </c>
      <c r="P89">
        <v>7</v>
      </c>
    </row>
    <row r="90" spans="1:16" x14ac:dyDescent="0.35">
      <c r="A90" t="s">
        <v>369</v>
      </c>
      <c r="B90" s="10" t="s">
        <v>370</v>
      </c>
      <c r="C90" s="11" t="str">
        <f t="shared" si="1"/>
        <v>October</v>
      </c>
      <c r="D90" t="s">
        <v>188</v>
      </c>
      <c r="E90" t="s">
        <v>371</v>
      </c>
      <c r="F90" t="s">
        <v>36</v>
      </c>
      <c r="G90" t="s">
        <v>28</v>
      </c>
      <c r="H90" t="s">
        <v>76</v>
      </c>
      <c r="I90" t="s">
        <v>119</v>
      </c>
      <c r="J90">
        <v>8</v>
      </c>
      <c r="K90" s="4">
        <v>1158.49</v>
      </c>
      <c r="L90" s="2">
        <v>9267.92</v>
      </c>
      <c r="M90">
        <v>0.05</v>
      </c>
      <c r="N90" s="4">
        <v>3073.51</v>
      </c>
      <c r="O90" t="s">
        <v>31</v>
      </c>
      <c r="P90">
        <v>9</v>
      </c>
    </row>
    <row r="91" spans="1:16" x14ac:dyDescent="0.35">
      <c r="A91" t="s">
        <v>372</v>
      </c>
      <c r="B91" s="10" t="s">
        <v>373</v>
      </c>
      <c r="C91" s="11" t="str">
        <f t="shared" si="1"/>
        <v>February</v>
      </c>
      <c r="D91" t="s">
        <v>374</v>
      </c>
      <c r="E91" t="s">
        <v>375</v>
      </c>
      <c r="F91" t="s">
        <v>44</v>
      </c>
      <c r="G91" t="s">
        <v>57</v>
      </c>
      <c r="H91" t="s">
        <v>76</v>
      </c>
      <c r="I91" t="s">
        <v>77</v>
      </c>
      <c r="J91">
        <v>3</v>
      </c>
      <c r="K91" s="4">
        <v>503.77</v>
      </c>
      <c r="L91" s="2">
        <v>1511.31</v>
      </c>
      <c r="M91">
        <v>0.3</v>
      </c>
      <c r="N91" s="4">
        <v>171.4</v>
      </c>
      <c r="O91" t="s">
        <v>23</v>
      </c>
      <c r="P91">
        <v>7</v>
      </c>
    </row>
    <row r="92" spans="1:16" x14ac:dyDescent="0.35">
      <c r="A92" t="s">
        <v>376</v>
      </c>
      <c r="B92" s="10" t="s">
        <v>377</v>
      </c>
      <c r="C92" s="11" t="str">
        <f t="shared" si="1"/>
        <v>June</v>
      </c>
      <c r="D92" t="s">
        <v>378</v>
      </c>
      <c r="E92" t="s">
        <v>379</v>
      </c>
      <c r="F92" t="s">
        <v>19</v>
      </c>
      <c r="G92" t="s">
        <v>28</v>
      </c>
      <c r="H92" t="s">
        <v>21</v>
      </c>
      <c r="I92" t="s">
        <v>22</v>
      </c>
      <c r="J92">
        <v>6</v>
      </c>
      <c r="K92" s="4">
        <v>1025.76</v>
      </c>
      <c r="L92" s="2">
        <v>6154.56</v>
      </c>
      <c r="M92">
        <v>0.2</v>
      </c>
      <c r="N92" s="4">
        <v>1959.59</v>
      </c>
      <c r="O92" t="s">
        <v>23</v>
      </c>
      <c r="P92">
        <v>1</v>
      </c>
    </row>
    <row r="93" spans="1:16" x14ac:dyDescent="0.35">
      <c r="A93" t="s">
        <v>380</v>
      </c>
      <c r="B93" s="10" t="s">
        <v>381</v>
      </c>
      <c r="C93" s="11" t="str">
        <f t="shared" si="1"/>
        <v>February</v>
      </c>
      <c r="D93" t="s">
        <v>191</v>
      </c>
      <c r="E93" t="s">
        <v>382</v>
      </c>
      <c r="F93" t="s">
        <v>36</v>
      </c>
      <c r="G93" t="s">
        <v>20</v>
      </c>
      <c r="H93" t="s">
        <v>21</v>
      </c>
      <c r="I93" t="s">
        <v>22</v>
      </c>
      <c r="J93">
        <v>4</v>
      </c>
      <c r="K93" s="4">
        <v>764.77</v>
      </c>
      <c r="L93" s="2">
        <v>3059.08</v>
      </c>
      <c r="M93">
        <v>0.1</v>
      </c>
      <c r="N93" s="4">
        <v>415.81</v>
      </c>
      <c r="O93" t="s">
        <v>39</v>
      </c>
      <c r="P93">
        <v>3</v>
      </c>
    </row>
    <row r="94" spans="1:16" x14ac:dyDescent="0.35">
      <c r="A94" t="s">
        <v>383</v>
      </c>
      <c r="B94" s="10" t="s">
        <v>384</v>
      </c>
      <c r="C94" s="11" t="str">
        <f t="shared" si="1"/>
        <v>July</v>
      </c>
      <c r="D94" t="s">
        <v>385</v>
      </c>
      <c r="E94" t="s">
        <v>386</v>
      </c>
      <c r="F94" t="s">
        <v>36</v>
      </c>
      <c r="G94" t="s">
        <v>37</v>
      </c>
      <c r="H94" t="s">
        <v>21</v>
      </c>
      <c r="I94" t="s">
        <v>38</v>
      </c>
      <c r="J94">
        <v>1</v>
      </c>
      <c r="K94" s="4">
        <v>74.27</v>
      </c>
      <c r="L94" s="2">
        <v>74.27</v>
      </c>
      <c r="M94">
        <v>0</v>
      </c>
      <c r="N94" s="4">
        <v>32.130000000000003</v>
      </c>
      <c r="O94" t="s">
        <v>23</v>
      </c>
      <c r="P94">
        <v>7</v>
      </c>
    </row>
    <row r="95" spans="1:16" x14ac:dyDescent="0.35">
      <c r="A95" t="s">
        <v>387</v>
      </c>
      <c r="B95" s="10" t="s">
        <v>388</v>
      </c>
      <c r="C95" s="11" t="str">
        <f t="shared" si="1"/>
        <v>November</v>
      </c>
      <c r="D95" t="s">
        <v>80</v>
      </c>
      <c r="E95" t="s">
        <v>389</v>
      </c>
      <c r="F95" t="s">
        <v>36</v>
      </c>
      <c r="G95" t="s">
        <v>28</v>
      </c>
      <c r="H95" t="s">
        <v>21</v>
      </c>
      <c r="I95" t="s">
        <v>105</v>
      </c>
      <c r="J95">
        <v>3</v>
      </c>
      <c r="K95" s="4">
        <v>226.58</v>
      </c>
      <c r="L95" s="2">
        <v>679.74</v>
      </c>
      <c r="M95">
        <v>0.2</v>
      </c>
      <c r="N95" s="4">
        <v>109.66</v>
      </c>
      <c r="O95" t="s">
        <v>23</v>
      </c>
      <c r="P95">
        <v>3</v>
      </c>
    </row>
    <row r="96" spans="1:16" x14ac:dyDescent="0.35">
      <c r="A96" t="s">
        <v>390</v>
      </c>
      <c r="B96" s="10" t="s">
        <v>236</v>
      </c>
      <c r="C96" s="11" t="str">
        <f t="shared" si="1"/>
        <v>August</v>
      </c>
      <c r="D96" t="s">
        <v>391</v>
      </c>
      <c r="E96" t="s">
        <v>392</v>
      </c>
      <c r="F96" t="s">
        <v>19</v>
      </c>
      <c r="G96" t="s">
        <v>37</v>
      </c>
      <c r="H96" t="s">
        <v>29</v>
      </c>
      <c r="I96" t="s">
        <v>45</v>
      </c>
      <c r="J96">
        <v>5</v>
      </c>
      <c r="K96" s="4">
        <v>562.29</v>
      </c>
      <c r="L96" s="2">
        <v>2811.45</v>
      </c>
      <c r="M96">
        <v>0.3</v>
      </c>
      <c r="N96" s="4">
        <v>1075.01</v>
      </c>
      <c r="O96" t="s">
        <v>31</v>
      </c>
      <c r="P96">
        <v>8</v>
      </c>
    </row>
    <row r="97" spans="1:16" x14ac:dyDescent="0.35">
      <c r="A97" t="s">
        <v>393</v>
      </c>
      <c r="B97" s="10" t="s">
        <v>394</v>
      </c>
      <c r="C97" s="11" t="str">
        <f t="shared" si="1"/>
        <v>August</v>
      </c>
      <c r="D97" t="s">
        <v>395</v>
      </c>
      <c r="E97" t="s">
        <v>396</v>
      </c>
      <c r="F97" t="s">
        <v>36</v>
      </c>
      <c r="G97" t="s">
        <v>28</v>
      </c>
      <c r="H97" t="s">
        <v>76</v>
      </c>
      <c r="I97" t="s">
        <v>177</v>
      </c>
      <c r="J97">
        <v>5</v>
      </c>
      <c r="K97" s="4">
        <v>773.95</v>
      </c>
      <c r="L97" s="2">
        <v>3869.75</v>
      </c>
      <c r="M97">
        <v>0.15</v>
      </c>
      <c r="N97" s="4">
        <v>900.85</v>
      </c>
      <c r="O97" t="s">
        <v>39</v>
      </c>
      <c r="P97">
        <v>2</v>
      </c>
    </row>
    <row r="98" spans="1:16" x14ac:dyDescent="0.35">
      <c r="A98" t="s">
        <v>397</v>
      </c>
      <c r="B98" s="10" t="s">
        <v>133</v>
      </c>
      <c r="C98" s="11" t="str">
        <f t="shared" si="1"/>
        <v>June</v>
      </c>
      <c r="D98" t="s">
        <v>398</v>
      </c>
      <c r="E98" t="s">
        <v>399</v>
      </c>
      <c r="F98" t="s">
        <v>19</v>
      </c>
      <c r="G98" t="s">
        <v>28</v>
      </c>
      <c r="H98" t="s">
        <v>29</v>
      </c>
      <c r="I98" t="s">
        <v>45</v>
      </c>
      <c r="J98">
        <v>10</v>
      </c>
      <c r="K98" s="4">
        <v>443.57</v>
      </c>
      <c r="L98" s="2">
        <v>4435.7</v>
      </c>
      <c r="M98">
        <v>0.1</v>
      </c>
      <c r="N98" s="4">
        <v>610.49</v>
      </c>
      <c r="O98" t="s">
        <v>39</v>
      </c>
      <c r="P98">
        <v>1</v>
      </c>
    </row>
    <row r="99" spans="1:16" x14ac:dyDescent="0.35">
      <c r="A99" t="s">
        <v>400</v>
      </c>
      <c r="B99" s="10" t="s">
        <v>401</v>
      </c>
      <c r="C99" s="11" t="str">
        <f t="shared" si="1"/>
        <v>April</v>
      </c>
      <c r="D99" t="s">
        <v>402</v>
      </c>
      <c r="E99" t="s">
        <v>403</v>
      </c>
      <c r="F99" t="s">
        <v>44</v>
      </c>
      <c r="G99" t="s">
        <v>37</v>
      </c>
      <c r="H99" t="s">
        <v>21</v>
      </c>
      <c r="I99" t="s">
        <v>22</v>
      </c>
      <c r="J99">
        <v>10</v>
      </c>
      <c r="K99" s="4">
        <v>899.3</v>
      </c>
      <c r="L99" s="2">
        <v>8993</v>
      </c>
      <c r="M99">
        <v>0.1</v>
      </c>
      <c r="N99" s="4">
        <v>1940.09</v>
      </c>
      <c r="O99" t="s">
        <v>23</v>
      </c>
      <c r="P99">
        <v>4</v>
      </c>
    </row>
    <row r="100" spans="1:16" x14ac:dyDescent="0.35">
      <c r="A100" t="s">
        <v>404</v>
      </c>
      <c r="B100" s="10" t="s">
        <v>405</v>
      </c>
      <c r="C100" s="11" t="str">
        <f t="shared" si="1"/>
        <v>June</v>
      </c>
      <c r="D100" t="s">
        <v>406</v>
      </c>
      <c r="E100" t="s">
        <v>407</v>
      </c>
      <c r="F100" t="s">
        <v>36</v>
      </c>
      <c r="G100" t="s">
        <v>57</v>
      </c>
      <c r="H100" t="s">
        <v>21</v>
      </c>
      <c r="I100" t="s">
        <v>38</v>
      </c>
      <c r="J100">
        <v>3</v>
      </c>
      <c r="K100" s="4">
        <v>761.33</v>
      </c>
      <c r="L100" s="2">
        <v>2283.9899999999998</v>
      </c>
      <c r="M100">
        <v>0.3</v>
      </c>
      <c r="N100" s="4">
        <v>465.99</v>
      </c>
      <c r="O100" t="s">
        <v>23</v>
      </c>
      <c r="P100">
        <v>3</v>
      </c>
    </row>
    <row r="101" spans="1:16" x14ac:dyDescent="0.35">
      <c r="A101" t="s">
        <v>408</v>
      </c>
      <c r="B101" s="10" t="s">
        <v>89</v>
      </c>
      <c r="C101" s="11" t="str">
        <f t="shared" si="1"/>
        <v>October</v>
      </c>
      <c r="D101" t="s">
        <v>409</v>
      </c>
      <c r="E101" t="s">
        <v>410</v>
      </c>
      <c r="F101" t="s">
        <v>19</v>
      </c>
      <c r="G101" t="s">
        <v>57</v>
      </c>
      <c r="H101" t="s">
        <v>29</v>
      </c>
      <c r="I101" t="s">
        <v>110</v>
      </c>
      <c r="J101">
        <v>6</v>
      </c>
      <c r="K101" s="4">
        <v>902.03</v>
      </c>
      <c r="L101" s="2">
        <v>5412.18</v>
      </c>
      <c r="M101">
        <v>0.05</v>
      </c>
      <c r="N101" s="4">
        <v>2414.9</v>
      </c>
      <c r="O101" t="s">
        <v>31</v>
      </c>
      <c r="P101">
        <v>5</v>
      </c>
    </row>
    <row r="102" spans="1:16" x14ac:dyDescent="0.35">
      <c r="A102" t="s">
        <v>411</v>
      </c>
      <c r="B102" s="10" t="s">
        <v>412</v>
      </c>
      <c r="C102" s="11" t="str">
        <f t="shared" si="1"/>
        <v>March</v>
      </c>
      <c r="D102" t="s">
        <v>413</v>
      </c>
      <c r="E102" t="s">
        <v>414</v>
      </c>
      <c r="F102" t="s">
        <v>36</v>
      </c>
      <c r="G102" t="s">
        <v>28</v>
      </c>
      <c r="H102" t="s">
        <v>76</v>
      </c>
      <c r="I102" t="s">
        <v>87</v>
      </c>
      <c r="J102">
        <v>6</v>
      </c>
      <c r="K102" s="4">
        <v>968.99</v>
      </c>
      <c r="L102" s="2">
        <v>5813.94</v>
      </c>
      <c r="M102">
        <v>0.15</v>
      </c>
      <c r="N102" s="4">
        <v>814.63</v>
      </c>
      <c r="O102" t="s">
        <v>23</v>
      </c>
      <c r="P102">
        <v>6</v>
      </c>
    </row>
    <row r="103" spans="1:16" x14ac:dyDescent="0.35">
      <c r="A103" t="s">
        <v>415</v>
      </c>
      <c r="B103" s="10" t="s">
        <v>416</v>
      </c>
      <c r="C103" s="11" t="str">
        <f t="shared" si="1"/>
        <v>December</v>
      </c>
      <c r="D103" t="s">
        <v>417</v>
      </c>
      <c r="E103" t="s">
        <v>418</v>
      </c>
      <c r="F103" t="s">
        <v>19</v>
      </c>
      <c r="G103" t="s">
        <v>57</v>
      </c>
      <c r="H103" t="s">
        <v>29</v>
      </c>
      <c r="I103" t="s">
        <v>45</v>
      </c>
      <c r="J103">
        <v>1</v>
      </c>
      <c r="K103" s="4">
        <v>332.06</v>
      </c>
      <c r="L103" s="2">
        <v>332.06</v>
      </c>
      <c r="M103">
        <v>0</v>
      </c>
      <c r="N103" s="4">
        <v>122.23</v>
      </c>
      <c r="O103" t="s">
        <v>23</v>
      </c>
      <c r="P103">
        <v>7</v>
      </c>
    </row>
    <row r="104" spans="1:16" x14ac:dyDescent="0.35">
      <c r="A104" t="s">
        <v>419</v>
      </c>
      <c r="B104" s="10" t="s">
        <v>25</v>
      </c>
      <c r="C104" s="11" t="str">
        <f t="shared" si="1"/>
        <v>October</v>
      </c>
      <c r="D104" t="s">
        <v>420</v>
      </c>
      <c r="E104" t="s">
        <v>421</v>
      </c>
      <c r="F104" t="s">
        <v>19</v>
      </c>
      <c r="G104" t="s">
        <v>37</v>
      </c>
      <c r="H104" t="s">
        <v>21</v>
      </c>
      <c r="I104" t="s">
        <v>38</v>
      </c>
      <c r="J104">
        <v>2</v>
      </c>
      <c r="K104" s="4">
        <v>816.31</v>
      </c>
      <c r="L104" s="2">
        <v>1632.62</v>
      </c>
      <c r="M104">
        <v>0.15</v>
      </c>
      <c r="N104" s="4">
        <v>749.36</v>
      </c>
      <c r="O104" t="s">
        <v>23</v>
      </c>
      <c r="P104">
        <v>2</v>
      </c>
    </row>
    <row r="105" spans="1:16" x14ac:dyDescent="0.35">
      <c r="A105" t="s">
        <v>422</v>
      </c>
      <c r="B105" s="10" t="s">
        <v>423</v>
      </c>
      <c r="C105" s="11" t="str">
        <f t="shared" si="1"/>
        <v>January</v>
      </c>
      <c r="D105" t="s">
        <v>395</v>
      </c>
      <c r="E105" t="s">
        <v>424</v>
      </c>
      <c r="F105" t="s">
        <v>44</v>
      </c>
      <c r="G105" t="s">
        <v>20</v>
      </c>
      <c r="H105" t="s">
        <v>21</v>
      </c>
      <c r="I105" t="s">
        <v>82</v>
      </c>
      <c r="J105">
        <v>5</v>
      </c>
      <c r="K105" s="4">
        <v>786.1</v>
      </c>
      <c r="L105" s="2">
        <v>3930.5</v>
      </c>
      <c r="M105">
        <v>0</v>
      </c>
      <c r="N105" s="4">
        <v>1942.02</v>
      </c>
      <c r="O105" t="s">
        <v>31</v>
      </c>
      <c r="P105">
        <v>4</v>
      </c>
    </row>
    <row r="106" spans="1:16" x14ac:dyDescent="0.35">
      <c r="A106" t="s">
        <v>425</v>
      </c>
      <c r="B106" s="10" t="s">
        <v>426</v>
      </c>
      <c r="C106" s="11" t="str">
        <f t="shared" si="1"/>
        <v>December</v>
      </c>
      <c r="D106" t="s">
        <v>113</v>
      </c>
      <c r="E106" t="s">
        <v>427</v>
      </c>
      <c r="F106" t="s">
        <v>44</v>
      </c>
      <c r="G106" t="s">
        <v>37</v>
      </c>
      <c r="H106" t="s">
        <v>21</v>
      </c>
      <c r="I106" t="s">
        <v>105</v>
      </c>
      <c r="J106">
        <v>7</v>
      </c>
      <c r="K106" s="4">
        <v>555.29999999999995</v>
      </c>
      <c r="L106" s="2">
        <v>3887.1</v>
      </c>
      <c r="M106">
        <v>0.3</v>
      </c>
      <c r="N106" s="4">
        <v>463.24</v>
      </c>
      <c r="O106" t="s">
        <v>39</v>
      </c>
      <c r="P106">
        <v>2</v>
      </c>
    </row>
    <row r="107" spans="1:16" x14ac:dyDescent="0.35">
      <c r="A107" t="s">
        <v>428</v>
      </c>
      <c r="B107" s="10" t="s">
        <v>429</v>
      </c>
      <c r="C107" s="11" t="str">
        <f t="shared" si="1"/>
        <v>July</v>
      </c>
      <c r="D107" t="s">
        <v>134</v>
      </c>
      <c r="E107" t="s">
        <v>430</v>
      </c>
      <c r="F107" t="s">
        <v>44</v>
      </c>
      <c r="G107" t="s">
        <v>28</v>
      </c>
      <c r="H107" t="s">
        <v>76</v>
      </c>
      <c r="I107" t="s">
        <v>177</v>
      </c>
      <c r="J107">
        <v>7</v>
      </c>
      <c r="K107" s="4">
        <v>1128.08</v>
      </c>
      <c r="L107" s="2">
        <v>7896.56</v>
      </c>
      <c r="M107">
        <v>0.1</v>
      </c>
      <c r="N107" s="4">
        <v>3815.79</v>
      </c>
      <c r="O107" t="s">
        <v>31</v>
      </c>
      <c r="P107">
        <v>6</v>
      </c>
    </row>
    <row r="108" spans="1:16" x14ac:dyDescent="0.35">
      <c r="A108" t="s">
        <v>431</v>
      </c>
      <c r="B108" s="10" t="s">
        <v>432</v>
      </c>
      <c r="C108" s="11" t="str">
        <f t="shared" si="1"/>
        <v>July</v>
      </c>
      <c r="D108" t="s">
        <v>433</v>
      </c>
      <c r="E108" t="s">
        <v>434</v>
      </c>
      <c r="F108" t="s">
        <v>36</v>
      </c>
      <c r="G108" t="s">
        <v>20</v>
      </c>
      <c r="H108" t="s">
        <v>29</v>
      </c>
      <c r="I108" t="s">
        <v>62</v>
      </c>
      <c r="J108">
        <v>6</v>
      </c>
      <c r="K108" s="4">
        <v>662.47</v>
      </c>
      <c r="L108" s="2">
        <v>3974.82</v>
      </c>
      <c r="M108">
        <v>0.3</v>
      </c>
      <c r="N108" s="4">
        <v>1131.1199999999999</v>
      </c>
      <c r="O108" t="s">
        <v>39</v>
      </c>
      <c r="P108">
        <v>2</v>
      </c>
    </row>
    <row r="109" spans="1:16" x14ac:dyDescent="0.35">
      <c r="A109" t="s">
        <v>435</v>
      </c>
      <c r="B109" s="10" t="s">
        <v>217</v>
      </c>
      <c r="C109" s="11" t="str">
        <f t="shared" si="1"/>
        <v>May</v>
      </c>
      <c r="D109" t="s">
        <v>436</v>
      </c>
      <c r="E109" t="s">
        <v>437</v>
      </c>
      <c r="F109" t="s">
        <v>19</v>
      </c>
      <c r="G109" t="s">
        <v>37</v>
      </c>
      <c r="H109" t="s">
        <v>21</v>
      </c>
      <c r="I109" t="s">
        <v>105</v>
      </c>
      <c r="J109">
        <v>10</v>
      </c>
      <c r="K109" s="4">
        <v>1165.8900000000001</v>
      </c>
      <c r="L109" s="2">
        <v>11658.9</v>
      </c>
      <c r="M109">
        <v>0</v>
      </c>
      <c r="N109" s="4">
        <v>2743.13</v>
      </c>
      <c r="O109" t="s">
        <v>31</v>
      </c>
      <c r="P109">
        <v>9</v>
      </c>
    </row>
    <row r="110" spans="1:16" x14ac:dyDescent="0.35">
      <c r="A110" t="s">
        <v>438</v>
      </c>
      <c r="B110" s="10" t="s">
        <v>439</v>
      </c>
      <c r="C110" s="11" t="str">
        <f t="shared" si="1"/>
        <v>March</v>
      </c>
      <c r="D110" t="s">
        <v>440</v>
      </c>
      <c r="E110" t="s">
        <v>441</v>
      </c>
      <c r="F110" t="s">
        <v>36</v>
      </c>
      <c r="G110" t="s">
        <v>57</v>
      </c>
      <c r="H110" t="s">
        <v>29</v>
      </c>
      <c r="I110" t="s">
        <v>100</v>
      </c>
      <c r="J110">
        <v>4</v>
      </c>
      <c r="K110" s="4">
        <v>979.4</v>
      </c>
      <c r="L110" s="2">
        <v>3917.6</v>
      </c>
      <c r="M110">
        <v>0.05</v>
      </c>
      <c r="N110" s="4">
        <v>1557.82</v>
      </c>
      <c r="O110" t="s">
        <v>31</v>
      </c>
      <c r="P110">
        <v>3</v>
      </c>
    </row>
    <row r="111" spans="1:16" x14ac:dyDescent="0.35">
      <c r="A111" t="s">
        <v>442</v>
      </c>
      <c r="B111" s="10" t="s">
        <v>443</v>
      </c>
      <c r="C111" s="11" t="str">
        <f t="shared" si="1"/>
        <v>July</v>
      </c>
      <c r="D111" t="s">
        <v>444</v>
      </c>
      <c r="E111" t="s">
        <v>445</v>
      </c>
      <c r="F111" t="s">
        <v>19</v>
      </c>
      <c r="G111" t="s">
        <v>57</v>
      </c>
      <c r="H111" t="s">
        <v>21</v>
      </c>
      <c r="I111" t="s">
        <v>38</v>
      </c>
      <c r="J111">
        <v>3</v>
      </c>
      <c r="K111" s="4">
        <v>149.71</v>
      </c>
      <c r="L111" s="2">
        <v>449.13</v>
      </c>
      <c r="M111">
        <v>0</v>
      </c>
      <c r="N111" s="4">
        <v>223.34</v>
      </c>
      <c r="O111" t="s">
        <v>31</v>
      </c>
      <c r="P111">
        <v>3</v>
      </c>
    </row>
    <row r="112" spans="1:16" x14ac:dyDescent="0.35">
      <c r="A112" t="s">
        <v>446</v>
      </c>
      <c r="B112" s="10" t="s">
        <v>447</v>
      </c>
      <c r="C112" s="11" t="str">
        <f t="shared" si="1"/>
        <v>February</v>
      </c>
      <c r="D112" t="s">
        <v>214</v>
      </c>
      <c r="E112" t="s">
        <v>448</v>
      </c>
      <c r="F112" t="s">
        <v>44</v>
      </c>
      <c r="G112" t="s">
        <v>57</v>
      </c>
      <c r="H112" t="s">
        <v>76</v>
      </c>
      <c r="I112" t="s">
        <v>77</v>
      </c>
      <c r="J112">
        <v>3</v>
      </c>
      <c r="K112" s="4">
        <v>895.23</v>
      </c>
      <c r="L112" s="2">
        <v>2685.69</v>
      </c>
      <c r="M112">
        <v>0.2</v>
      </c>
      <c r="N112" s="4">
        <v>1084.03</v>
      </c>
      <c r="O112" t="s">
        <v>23</v>
      </c>
      <c r="P112">
        <v>10</v>
      </c>
    </row>
    <row r="113" spans="1:16" x14ac:dyDescent="0.35">
      <c r="A113" t="s">
        <v>449</v>
      </c>
      <c r="B113" s="10" t="s">
        <v>450</v>
      </c>
      <c r="C113" s="11" t="str">
        <f t="shared" si="1"/>
        <v>December</v>
      </c>
      <c r="D113" t="s">
        <v>451</v>
      </c>
      <c r="E113" t="s">
        <v>452</v>
      </c>
      <c r="F113" t="s">
        <v>44</v>
      </c>
      <c r="G113" t="s">
        <v>28</v>
      </c>
      <c r="H113" t="s">
        <v>29</v>
      </c>
      <c r="I113" t="s">
        <v>45</v>
      </c>
      <c r="J113">
        <v>9</v>
      </c>
      <c r="K113" s="4">
        <v>281.43</v>
      </c>
      <c r="L113" s="2">
        <v>2532.87</v>
      </c>
      <c r="M113">
        <v>0.2</v>
      </c>
      <c r="N113" s="4">
        <v>1079.31</v>
      </c>
      <c r="O113" t="s">
        <v>23</v>
      </c>
      <c r="P113">
        <v>1</v>
      </c>
    </row>
    <row r="114" spans="1:16" x14ac:dyDescent="0.35">
      <c r="A114" t="s">
        <v>453</v>
      </c>
      <c r="B114" s="10" t="s">
        <v>454</v>
      </c>
      <c r="C114" s="11" t="str">
        <f t="shared" si="1"/>
        <v>August</v>
      </c>
      <c r="D114" t="s">
        <v>108</v>
      </c>
      <c r="E114" t="s">
        <v>455</v>
      </c>
      <c r="F114" t="s">
        <v>36</v>
      </c>
      <c r="G114" t="s">
        <v>57</v>
      </c>
      <c r="H114" t="s">
        <v>29</v>
      </c>
      <c r="I114" t="s">
        <v>45</v>
      </c>
      <c r="J114">
        <v>7</v>
      </c>
      <c r="K114" s="4">
        <v>523</v>
      </c>
      <c r="L114" s="2">
        <v>3661</v>
      </c>
      <c r="M114">
        <v>0</v>
      </c>
      <c r="N114" s="4">
        <v>1295.5999999999999</v>
      </c>
      <c r="O114" t="s">
        <v>23</v>
      </c>
      <c r="P114">
        <v>3</v>
      </c>
    </row>
    <row r="115" spans="1:16" x14ac:dyDescent="0.35">
      <c r="A115" t="s">
        <v>456</v>
      </c>
      <c r="B115" s="10" t="s">
        <v>457</v>
      </c>
      <c r="C115" s="11" t="str">
        <f t="shared" si="1"/>
        <v>June</v>
      </c>
      <c r="D115" t="s">
        <v>130</v>
      </c>
      <c r="E115" t="s">
        <v>458</v>
      </c>
      <c r="F115" t="s">
        <v>19</v>
      </c>
      <c r="G115" t="s">
        <v>57</v>
      </c>
      <c r="H115" t="s">
        <v>29</v>
      </c>
      <c r="I115" t="s">
        <v>224</v>
      </c>
      <c r="J115">
        <v>5</v>
      </c>
      <c r="K115" s="4">
        <v>756.69</v>
      </c>
      <c r="L115" s="2">
        <v>3783.45</v>
      </c>
      <c r="M115">
        <v>0.2</v>
      </c>
      <c r="N115" s="4">
        <v>1000.82</v>
      </c>
      <c r="O115" t="s">
        <v>39</v>
      </c>
      <c r="P115">
        <v>9</v>
      </c>
    </row>
    <row r="116" spans="1:16" x14ac:dyDescent="0.35">
      <c r="A116" t="s">
        <v>459</v>
      </c>
      <c r="B116" s="10" t="s">
        <v>460</v>
      </c>
      <c r="C116" s="11" t="str">
        <f t="shared" si="1"/>
        <v>November</v>
      </c>
      <c r="D116" t="s">
        <v>461</v>
      </c>
      <c r="E116" t="s">
        <v>462</v>
      </c>
      <c r="F116" t="s">
        <v>19</v>
      </c>
      <c r="G116" t="s">
        <v>37</v>
      </c>
      <c r="H116" t="s">
        <v>21</v>
      </c>
      <c r="I116" t="s">
        <v>82</v>
      </c>
      <c r="J116">
        <v>2</v>
      </c>
      <c r="K116" s="4">
        <v>955.85</v>
      </c>
      <c r="L116" s="2">
        <v>1911.7</v>
      </c>
      <c r="M116">
        <v>0</v>
      </c>
      <c r="N116" s="4">
        <v>399.32</v>
      </c>
      <c r="O116" t="s">
        <v>39</v>
      </c>
      <c r="P116">
        <v>8</v>
      </c>
    </row>
    <row r="117" spans="1:16" x14ac:dyDescent="0.35">
      <c r="A117" t="s">
        <v>463</v>
      </c>
      <c r="B117" s="10" t="s">
        <v>464</v>
      </c>
      <c r="C117" s="11" t="str">
        <f t="shared" si="1"/>
        <v>February</v>
      </c>
      <c r="D117" t="s">
        <v>60</v>
      </c>
      <c r="E117" t="s">
        <v>465</v>
      </c>
      <c r="F117" t="s">
        <v>44</v>
      </c>
      <c r="G117" t="s">
        <v>57</v>
      </c>
      <c r="H117" t="s">
        <v>29</v>
      </c>
      <c r="I117" t="s">
        <v>45</v>
      </c>
      <c r="J117">
        <v>6</v>
      </c>
      <c r="K117" s="4">
        <v>996.35</v>
      </c>
      <c r="L117" s="2">
        <v>5978.1</v>
      </c>
      <c r="M117">
        <v>0.15</v>
      </c>
      <c r="N117" s="4">
        <v>1949.24</v>
      </c>
      <c r="O117" t="s">
        <v>23</v>
      </c>
      <c r="P117">
        <v>5</v>
      </c>
    </row>
    <row r="118" spans="1:16" x14ac:dyDescent="0.35">
      <c r="A118" t="s">
        <v>466</v>
      </c>
      <c r="B118" s="10" t="s">
        <v>467</v>
      </c>
      <c r="C118" s="11" t="str">
        <f t="shared" si="1"/>
        <v>February</v>
      </c>
      <c r="D118" t="s">
        <v>468</v>
      </c>
      <c r="E118" t="s">
        <v>469</v>
      </c>
      <c r="F118" t="s">
        <v>19</v>
      </c>
      <c r="G118" t="s">
        <v>57</v>
      </c>
      <c r="H118" t="s">
        <v>76</v>
      </c>
      <c r="I118" t="s">
        <v>119</v>
      </c>
      <c r="J118">
        <v>8</v>
      </c>
      <c r="K118" s="4">
        <v>99.22</v>
      </c>
      <c r="L118" s="2">
        <v>793.76</v>
      </c>
      <c r="M118">
        <v>0</v>
      </c>
      <c r="N118" s="4">
        <v>406.97</v>
      </c>
      <c r="O118" t="s">
        <v>31</v>
      </c>
      <c r="P118">
        <v>9</v>
      </c>
    </row>
    <row r="119" spans="1:16" x14ac:dyDescent="0.35">
      <c r="A119" t="s">
        <v>470</v>
      </c>
      <c r="B119" s="10" t="s">
        <v>471</v>
      </c>
      <c r="C119" s="11" t="str">
        <f t="shared" si="1"/>
        <v>July</v>
      </c>
      <c r="D119" t="s">
        <v>472</v>
      </c>
      <c r="E119" t="s">
        <v>473</v>
      </c>
      <c r="F119" t="s">
        <v>44</v>
      </c>
      <c r="G119" t="s">
        <v>20</v>
      </c>
      <c r="H119" t="s">
        <v>29</v>
      </c>
      <c r="I119" t="s">
        <v>100</v>
      </c>
      <c r="J119">
        <v>9</v>
      </c>
      <c r="K119" s="4">
        <v>682.79</v>
      </c>
      <c r="L119" s="2">
        <v>6145.11</v>
      </c>
      <c r="M119">
        <v>0.3</v>
      </c>
      <c r="N119" s="4">
        <v>2155.5500000000002</v>
      </c>
      <c r="O119" t="s">
        <v>39</v>
      </c>
      <c r="P119">
        <v>10</v>
      </c>
    </row>
    <row r="120" spans="1:16" x14ac:dyDescent="0.35">
      <c r="A120" t="s">
        <v>474</v>
      </c>
      <c r="B120" s="10" t="s">
        <v>475</v>
      </c>
      <c r="C120" s="11" t="str">
        <f t="shared" si="1"/>
        <v>September</v>
      </c>
      <c r="D120" t="s">
        <v>184</v>
      </c>
      <c r="E120" t="s">
        <v>476</v>
      </c>
      <c r="F120" t="s">
        <v>36</v>
      </c>
      <c r="G120" t="s">
        <v>57</v>
      </c>
      <c r="H120" t="s">
        <v>76</v>
      </c>
      <c r="I120" t="s">
        <v>87</v>
      </c>
      <c r="J120">
        <v>2</v>
      </c>
      <c r="K120" s="4">
        <v>701.94</v>
      </c>
      <c r="L120" s="2">
        <v>1403.88</v>
      </c>
      <c r="M120">
        <v>0.05</v>
      </c>
      <c r="N120" s="4">
        <v>650.98</v>
      </c>
      <c r="O120" t="s">
        <v>23</v>
      </c>
      <c r="P120">
        <v>6</v>
      </c>
    </row>
    <row r="121" spans="1:16" x14ac:dyDescent="0.35">
      <c r="A121" t="s">
        <v>477</v>
      </c>
      <c r="B121" s="10" t="s">
        <v>478</v>
      </c>
      <c r="C121" s="11" t="str">
        <f t="shared" si="1"/>
        <v>November</v>
      </c>
      <c r="D121" t="s">
        <v>479</v>
      </c>
      <c r="E121" t="s">
        <v>480</v>
      </c>
      <c r="F121" t="s">
        <v>19</v>
      </c>
      <c r="G121" t="s">
        <v>20</v>
      </c>
      <c r="H121" t="s">
        <v>29</v>
      </c>
      <c r="I121" t="s">
        <v>110</v>
      </c>
      <c r="J121">
        <v>10</v>
      </c>
      <c r="K121" s="4">
        <v>286.87</v>
      </c>
      <c r="L121" s="2">
        <v>2868.7</v>
      </c>
      <c r="M121">
        <v>0.15</v>
      </c>
      <c r="N121" s="4">
        <v>516.79</v>
      </c>
      <c r="O121" t="s">
        <v>23</v>
      </c>
      <c r="P121">
        <v>5</v>
      </c>
    </row>
    <row r="122" spans="1:16" x14ac:dyDescent="0.35">
      <c r="A122" t="s">
        <v>481</v>
      </c>
      <c r="B122" s="10" t="s">
        <v>256</v>
      </c>
      <c r="C122" s="11" t="str">
        <f t="shared" si="1"/>
        <v>June</v>
      </c>
      <c r="D122" t="s">
        <v>482</v>
      </c>
      <c r="E122" t="s">
        <v>483</v>
      </c>
      <c r="F122" t="s">
        <v>36</v>
      </c>
      <c r="G122" t="s">
        <v>37</v>
      </c>
      <c r="H122" t="s">
        <v>29</v>
      </c>
      <c r="I122" t="s">
        <v>224</v>
      </c>
      <c r="J122">
        <v>5</v>
      </c>
      <c r="K122" s="4">
        <v>849.18</v>
      </c>
      <c r="L122" s="2">
        <v>4245.8999999999996</v>
      </c>
      <c r="M122">
        <v>0.1</v>
      </c>
      <c r="N122" s="4">
        <v>693.13</v>
      </c>
      <c r="O122" t="s">
        <v>23</v>
      </c>
      <c r="P122">
        <v>7</v>
      </c>
    </row>
    <row r="123" spans="1:16" x14ac:dyDescent="0.35">
      <c r="A123" t="s">
        <v>484</v>
      </c>
      <c r="B123" s="10" t="s">
        <v>485</v>
      </c>
      <c r="C123" s="11" t="str">
        <f t="shared" si="1"/>
        <v>August</v>
      </c>
      <c r="D123" t="s">
        <v>222</v>
      </c>
      <c r="E123" t="s">
        <v>486</v>
      </c>
      <c r="F123" t="s">
        <v>44</v>
      </c>
      <c r="G123" t="s">
        <v>37</v>
      </c>
      <c r="H123" t="s">
        <v>29</v>
      </c>
      <c r="I123" t="s">
        <v>224</v>
      </c>
      <c r="J123">
        <v>1</v>
      </c>
      <c r="K123" s="4">
        <v>128.27000000000001</v>
      </c>
      <c r="L123" s="2">
        <v>128.27000000000001</v>
      </c>
      <c r="M123">
        <v>0.2</v>
      </c>
      <c r="N123" s="4">
        <v>47.61</v>
      </c>
      <c r="O123" t="s">
        <v>39</v>
      </c>
      <c r="P123">
        <v>5</v>
      </c>
    </row>
    <row r="124" spans="1:16" x14ac:dyDescent="0.35">
      <c r="A124" t="s">
        <v>487</v>
      </c>
      <c r="B124" s="10" t="s">
        <v>488</v>
      </c>
      <c r="C124" s="11" t="str">
        <f t="shared" si="1"/>
        <v>November</v>
      </c>
      <c r="D124" t="s">
        <v>489</v>
      </c>
      <c r="E124" t="s">
        <v>490</v>
      </c>
      <c r="F124" t="s">
        <v>19</v>
      </c>
      <c r="G124" t="s">
        <v>20</v>
      </c>
      <c r="H124" t="s">
        <v>21</v>
      </c>
      <c r="I124" t="s">
        <v>38</v>
      </c>
      <c r="J124">
        <v>10</v>
      </c>
      <c r="K124" s="4">
        <v>723.54</v>
      </c>
      <c r="L124" s="2">
        <v>7235.4</v>
      </c>
      <c r="M124">
        <v>0</v>
      </c>
      <c r="N124" s="4">
        <v>3529.2</v>
      </c>
      <c r="O124" t="s">
        <v>39</v>
      </c>
      <c r="P124">
        <v>8</v>
      </c>
    </row>
    <row r="125" spans="1:16" x14ac:dyDescent="0.35">
      <c r="A125" t="s">
        <v>491</v>
      </c>
      <c r="B125" s="10" t="s">
        <v>492</v>
      </c>
      <c r="C125" s="11" t="str">
        <f t="shared" si="1"/>
        <v>September</v>
      </c>
      <c r="D125" t="s">
        <v>493</v>
      </c>
      <c r="E125" t="s">
        <v>494</v>
      </c>
      <c r="F125" t="s">
        <v>44</v>
      </c>
      <c r="G125" t="s">
        <v>28</v>
      </c>
      <c r="H125" t="s">
        <v>21</v>
      </c>
      <c r="I125" t="s">
        <v>82</v>
      </c>
      <c r="J125">
        <v>8</v>
      </c>
      <c r="K125" s="4">
        <v>736.35</v>
      </c>
      <c r="L125" s="2">
        <v>5890.8</v>
      </c>
      <c r="M125">
        <v>0.15</v>
      </c>
      <c r="N125" s="4">
        <v>2206.83</v>
      </c>
      <c r="O125" t="s">
        <v>31</v>
      </c>
      <c r="P125">
        <v>5</v>
      </c>
    </row>
    <row r="126" spans="1:16" x14ac:dyDescent="0.35">
      <c r="A126" t="s">
        <v>495</v>
      </c>
      <c r="B126" s="10" t="s">
        <v>496</v>
      </c>
      <c r="C126" s="11" t="str">
        <f t="shared" si="1"/>
        <v>July</v>
      </c>
      <c r="D126" t="s">
        <v>497</v>
      </c>
      <c r="E126" t="s">
        <v>498</v>
      </c>
      <c r="F126" t="s">
        <v>36</v>
      </c>
      <c r="G126" t="s">
        <v>20</v>
      </c>
      <c r="H126" t="s">
        <v>21</v>
      </c>
      <c r="I126" t="s">
        <v>71</v>
      </c>
      <c r="J126">
        <v>8</v>
      </c>
      <c r="K126" s="4">
        <v>641.78</v>
      </c>
      <c r="L126" s="2">
        <v>5134.24</v>
      </c>
      <c r="M126">
        <v>0.1</v>
      </c>
      <c r="N126" s="4">
        <v>2457.5</v>
      </c>
      <c r="O126" t="s">
        <v>31</v>
      </c>
      <c r="P126">
        <v>5</v>
      </c>
    </row>
    <row r="127" spans="1:16" x14ac:dyDescent="0.35">
      <c r="A127" t="s">
        <v>499</v>
      </c>
      <c r="B127" s="10" t="s">
        <v>205</v>
      </c>
      <c r="C127" s="11" t="str">
        <f t="shared" si="1"/>
        <v>August</v>
      </c>
      <c r="D127" t="s">
        <v>500</v>
      </c>
      <c r="E127" t="s">
        <v>501</v>
      </c>
      <c r="F127" t="s">
        <v>36</v>
      </c>
      <c r="G127" t="s">
        <v>28</v>
      </c>
      <c r="H127" t="s">
        <v>29</v>
      </c>
      <c r="I127" t="s">
        <v>224</v>
      </c>
      <c r="J127">
        <v>5</v>
      </c>
      <c r="K127" s="4">
        <v>361.55</v>
      </c>
      <c r="L127" s="2">
        <v>1807.75</v>
      </c>
      <c r="M127">
        <v>0</v>
      </c>
      <c r="N127" s="4">
        <v>988.67</v>
      </c>
      <c r="O127" t="s">
        <v>23</v>
      </c>
      <c r="P127">
        <v>4</v>
      </c>
    </row>
    <row r="128" spans="1:16" x14ac:dyDescent="0.35">
      <c r="A128" t="s">
        <v>502</v>
      </c>
      <c r="B128" s="10" t="s">
        <v>503</v>
      </c>
      <c r="C128" s="11" t="str">
        <f t="shared" si="1"/>
        <v>January</v>
      </c>
      <c r="D128" t="s">
        <v>65</v>
      </c>
      <c r="E128" t="s">
        <v>504</v>
      </c>
      <c r="F128" t="s">
        <v>36</v>
      </c>
      <c r="G128" t="s">
        <v>57</v>
      </c>
      <c r="H128" t="s">
        <v>21</v>
      </c>
      <c r="I128" t="s">
        <v>71</v>
      </c>
      <c r="J128">
        <v>6</v>
      </c>
      <c r="K128" s="4">
        <v>105.05</v>
      </c>
      <c r="L128" s="2">
        <v>630.29999999999995</v>
      </c>
      <c r="M128">
        <v>0.3</v>
      </c>
      <c r="N128" s="4">
        <v>235.2</v>
      </c>
      <c r="O128" t="s">
        <v>23</v>
      </c>
      <c r="P128">
        <v>7</v>
      </c>
    </row>
    <row r="129" spans="1:16" x14ac:dyDescent="0.35">
      <c r="A129" t="s">
        <v>505</v>
      </c>
      <c r="B129" s="10" t="s">
        <v>457</v>
      </c>
      <c r="C129" s="11" t="str">
        <f t="shared" si="1"/>
        <v>June</v>
      </c>
      <c r="D129" t="s">
        <v>506</v>
      </c>
      <c r="E129" t="s">
        <v>507</v>
      </c>
      <c r="F129" t="s">
        <v>19</v>
      </c>
      <c r="G129" t="s">
        <v>28</v>
      </c>
      <c r="H129" t="s">
        <v>21</v>
      </c>
      <c r="I129" t="s">
        <v>82</v>
      </c>
      <c r="J129">
        <v>7</v>
      </c>
      <c r="K129" s="4">
        <v>361.63</v>
      </c>
      <c r="L129" s="2">
        <v>2531.41</v>
      </c>
      <c r="M129">
        <v>0.15</v>
      </c>
      <c r="N129" s="4">
        <v>1165.48</v>
      </c>
      <c r="O129" t="s">
        <v>23</v>
      </c>
      <c r="P129">
        <v>6</v>
      </c>
    </row>
    <row r="130" spans="1:16" x14ac:dyDescent="0.35">
      <c r="A130" t="s">
        <v>508</v>
      </c>
      <c r="B130" s="10" t="s">
        <v>509</v>
      </c>
      <c r="C130" s="11" t="str">
        <f t="shared" si="1"/>
        <v>February</v>
      </c>
      <c r="D130" t="s">
        <v>510</v>
      </c>
      <c r="E130" t="s">
        <v>511</v>
      </c>
      <c r="F130" t="s">
        <v>44</v>
      </c>
      <c r="G130" t="s">
        <v>57</v>
      </c>
      <c r="H130" t="s">
        <v>29</v>
      </c>
      <c r="I130" t="s">
        <v>45</v>
      </c>
      <c r="J130">
        <v>2</v>
      </c>
      <c r="K130" s="4">
        <v>307.11</v>
      </c>
      <c r="L130" s="2">
        <v>614.22</v>
      </c>
      <c r="M130">
        <v>0.2</v>
      </c>
      <c r="N130" s="4">
        <v>191.55</v>
      </c>
      <c r="O130" t="s">
        <v>31</v>
      </c>
      <c r="P130">
        <v>6</v>
      </c>
    </row>
    <row r="131" spans="1:16" x14ac:dyDescent="0.35">
      <c r="A131" t="s">
        <v>512</v>
      </c>
      <c r="B131" s="10" t="s">
        <v>513</v>
      </c>
      <c r="C131" s="11" t="str">
        <f t="shared" ref="C131:C194" si="2">TEXT(B131,"MMMM")</f>
        <v>June</v>
      </c>
      <c r="D131" t="s">
        <v>514</v>
      </c>
      <c r="E131" t="s">
        <v>515</v>
      </c>
      <c r="F131" t="s">
        <v>19</v>
      </c>
      <c r="G131" t="s">
        <v>37</v>
      </c>
      <c r="H131" t="s">
        <v>29</v>
      </c>
      <c r="I131" t="s">
        <v>30</v>
      </c>
      <c r="J131">
        <v>9</v>
      </c>
      <c r="K131" s="4">
        <v>767.21</v>
      </c>
      <c r="L131" s="2">
        <v>6904.89</v>
      </c>
      <c r="M131">
        <v>0.2</v>
      </c>
      <c r="N131" s="4">
        <v>1911.38</v>
      </c>
      <c r="O131" t="s">
        <v>31</v>
      </c>
      <c r="P131">
        <v>2</v>
      </c>
    </row>
    <row r="132" spans="1:16" x14ac:dyDescent="0.35">
      <c r="A132" t="s">
        <v>516</v>
      </c>
      <c r="B132" s="10" t="s">
        <v>517</v>
      </c>
      <c r="C132" s="11" t="str">
        <f t="shared" si="2"/>
        <v>December</v>
      </c>
      <c r="D132" t="s">
        <v>266</v>
      </c>
      <c r="E132" t="s">
        <v>518</v>
      </c>
      <c r="F132" t="s">
        <v>36</v>
      </c>
      <c r="G132" t="s">
        <v>28</v>
      </c>
      <c r="H132" t="s">
        <v>29</v>
      </c>
      <c r="I132" t="s">
        <v>110</v>
      </c>
      <c r="J132">
        <v>4</v>
      </c>
      <c r="K132" s="4">
        <v>224.73</v>
      </c>
      <c r="L132" s="2">
        <v>898.92</v>
      </c>
      <c r="M132">
        <v>0.05</v>
      </c>
      <c r="N132" s="4">
        <v>210</v>
      </c>
      <c r="O132" t="s">
        <v>39</v>
      </c>
      <c r="P132">
        <v>10</v>
      </c>
    </row>
    <row r="133" spans="1:16" x14ac:dyDescent="0.35">
      <c r="A133" t="s">
        <v>519</v>
      </c>
      <c r="B133" s="10" t="s">
        <v>520</v>
      </c>
      <c r="C133" s="11" t="str">
        <f t="shared" si="2"/>
        <v>November</v>
      </c>
      <c r="D133" t="s">
        <v>60</v>
      </c>
      <c r="E133" t="s">
        <v>521</v>
      </c>
      <c r="F133" t="s">
        <v>36</v>
      </c>
      <c r="G133" t="s">
        <v>28</v>
      </c>
      <c r="H133" t="s">
        <v>21</v>
      </c>
      <c r="I133" t="s">
        <v>82</v>
      </c>
      <c r="J133">
        <v>10</v>
      </c>
      <c r="K133" s="4">
        <v>778.73</v>
      </c>
      <c r="L133" s="2">
        <v>7787.3</v>
      </c>
      <c r="M133">
        <v>0.2</v>
      </c>
      <c r="N133" s="4">
        <v>2621</v>
      </c>
      <c r="O133" t="s">
        <v>31</v>
      </c>
      <c r="P133">
        <v>8</v>
      </c>
    </row>
    <row r="134" spans="1:16" x14ac:dyDescent="0.35">
      <c r="A134" t="s">
        <v>522</v>
      </c>
      <c r="B134" s="10" t="s">
        <v>405</v>
      </c>
      <c r="C134" s="11" t="str">
        <f t="shared" si="2"/>
        <v>June</v>
      </c>
      <c r="D134" t="s">
        <v>55</v>
      </c>
      <c r="E134" t="s">
        <v>523</v>
      </c>
      <c r="F134" t="s">
        <v>44</v>
      </c>
      <c r="G134" t="s">
        <v>20</v>
      </c>
      <c r="H134" t="s">
        <v>76</v>
      </c>
      <c r="I134" t="s">
        <v>87</v>
      </c>
      <c r="J134">
        <v>5</v>
      </c>
      <c r="K134" s="4">
        <v>717.88</v>
      </c>
      <c r="L134" s="2">
        <v>3589.4</v>
      </c>
      <c r="M134">
        <v>0.1</v>
      </c>
      <c r="N134" s="4">
        <v>1121.18</v>
      </c>
      <c r="O134" t="s">
        <v>31</v>
      </c>
      <c r="P134">
        <v>6</v>
      </c>
    </row>
    <row r="135" spans="1:16" x14ac:dyDescent="0.35">
      <c r="A135" t="s">
        <v>524</v>
      </c>
      <c r="B135" s="10" t="s">
        <v>525</v>
      </c>
      <c r="C135" s="11" t="str">
        <f t="shared" si="2"/>
        <v>October</v>
      </c>
      <c r="D135" t="s">
        <v>526</v>
      </c>
      <c r="E135" t="s">
        <v>527</v>
      </c>
      <c r="F135" t="s">
        <v>19</v>
      </c>
      <c r="G135" t="s">
        <v>20</v>
      </c>
      <c r="H135" t="s">
        <v>76</v>
      </c>
      <c r="I135" t="s">
        <v>77</v>
      </c>
      <c r="J135">
        <v>2</v>
      </c>
      <c r="K135" s="4">
        <v>745.71</v>
      </c>
      <c r="L135" s="2">
        <v>1491.42</v>
      </c>
      <c r="M135">
        <v>0.2</v>
      </c>
      <c r="N135" s="4">
        <v>472.73</v>
      </c>
      <c r="O135" t="s">
        <v>39</v>
      </c>
      <c r="P135">
        <v>10</v>
      </c>
    </row>
    <row r="136" spans="1:16" x14ac:dyDescent="0.35">
      <c r="A136" t="s">
        <v>528</v>
      </c>
      <c r="B136" s="10" t="s">
        <v>529</v>
      </c>
      <c r="C136" s="11" t="str">
        <f t="shared" si="2"/>
        <v>February</v>
      </c>
      <c r="D136" t="s">
        <v>530</v>
      </c>
      <c r="E136" t="s">
        <v>531</v>
      </c>
      <c r="F136" t="s">
        <v>36</v>
      </c>
      <c r="G136" t="s">
        <v>57</v>
      </c>
      <c r="H136" t="s">
        <v>21</v>
      </c>
      <c r="I136" t="s">
        <v>105</v>
      </c>
      <c r="J136">
        <v>6</v>
      </c>
      <c r="K136" s="4">
        <v>733.91</v>
      </c>
      <c r="L136" s="2">
        <v>4403.46</v>
      </c>
      <c r="M136">
        <v>0.2</v>
      </c>
      <c r="N136" s="4">
        <v>1724.94</v>
      </c>
      <c r="O136" t="s">
        <v>23</v>
      </c>
      <c r="P136">
        <v>2</v>
      </c>
    </row>
    <row r="137" spans="1:16" x14ac:dyDescent="0.35">
      <c r="A137" t="s">
        <v>532</v>
      </c>
      <c r="B137" s="10" t="s">
        <v>533</v>
      </c>
      <c r="C137" s="11" t="str">
        <f t="shared" si="2"/>
        <v>September</v>
      </c>
      <c r="D137" t="s">
        <v>451</v>
      </c>
      <c r="E137" t="s">
        <v>534</v>
      </c>
      <c r="F137" t="s">
        <v>19</v>
      </c>
      <c r="G137" t="s">
        <v>37</v>
      </c>
      <c r="H137" t="s">
        <v>21</v>
      </c>
      <c r="I137" t="s">
        <v>105</v>
      </c>
      <c r="J137">
        <v>1</v>
      </c>
      <c r="K137" s="4">
        <v>312.33999999999997</v>
      </c>
      <c r="L137" s="2">
        <v>312.33999999999997</v>
      </c>
      <c r="M137">
        <v>0.15</v>
      </c>
      <c r="N137" s="4">
        <v>40.78</v>
      </c>
      <c r="O137" t="s">
        <v>39</v>
      </c>
      <c r="P137">
        <v>6</v>
      </c>
    </row>
    <row r="138" spans="1:16" x14ac:dyDescent="0.35">
      <c r="A138" t="s">
        <v>535</v>
      </c>
      <c r="B138" s="10" t="s">
        <v>536</v>
      </c>
      <c r="C138" s="11" t="str">
        <f t="shared" si="2"/>
        <v>November</v>
      </c>
      <c r="D138" t="s">
        <v>353</v>
      </c>
      <c r="E138" t="s">
        <v>537</v>
      </c>
      <c r="F138" t="s">
        <v>44</v>
      </c>
      <c r="G138" t="s">
        <v>20</v>
      </c>
      <c r="H138" t="s">
        <v>76</v>
      </c>
      <c r="I138" t="s">
        <v>128</v>
      </c>
      <c r="J138">
        <v>7</v>
      </c>
      <c r="K138" s="4">
        <v>933.87</v>
      </c>
      <c r="L138" s="2">
        <v>6537.09</v>
      </c>
      <c r="M138">
        <v>0.3</v>
      </c>
      <c r="N138" s="4">
        <v>1422.42</v>
      </c>
      <c r="O138" t="s">
        <v>39</v>
      </c>
      <c r="P138">
        <v>2</v>
      </c>
    </row>
    <row r="139" spans="1:16" x14ac:dyDescent="0.35">
      <c r="A139" t="s">
        <v>538</v>
      </c>
      <c r="B139" s="10" t="s">
        <v>539</v>
      </c>
      <c r="C139" s="11" t="str">
        <f t="shared" si="2"/>
        <v>November</v>
      </c>
      <c r="D139" t="s">
        <v>167</v>
      </c>
      <c r="E139" t="s">
        <v>540</v>
      </c>
      <c r="F139" t="s">
        <v>44</v>
      </c>
      <c r="G139" t="s">
        <v>20</v>
      </c>
      <c r="H139" t="s">
        <v>21</v>
      </c>
      <c r="I139" t="s">
        <v>82</v>
      </c>
      <c r="J139">
        <v>5</v>
      </c>
      <c r="K139" s="4">
        <v>317.36</v>
      </c>
      <c r="L139" s="2">
        <v>1586.8</v>
      </c>
      <c r="M139">
        <v>0.3</v>
      </c>
      <c r="N139" s="4">
        <v>182.43</v>
      </c>
      <c r="O139" t="s">
        <v>23</v>
      </c>
      <c r="P139">
        <v>3</v>
      </c>
    </row>
    <row r="140" spans="1:16" x14ac:dyDescent="0.35">
      <c r="A140" t="s">
        <v>541</v>
      </c>
      <c r="B140" s="10" t="s">
        <v>405</v>
      </c>
      <c r="C140" s="11" t="str">
        <f t="shared" si="2"/>
        <v>June</v>
      </c>
      <c r="D140" t="s">
        <v>542</v>
      </c>
      <c r="E140" t="s">
        <v>543</v>
      </c>
      <c r="F140" t="s">
        <v>44</v>
      </c>
      <c r="G140" t="s">
        <v>57</v>
      </c>
      <c r="H140" t="s">
        <v>76</v>
      </c>
      <c r="I140" t="s">
        <v>87</v>
      </c>
      <c r="J140">
        <v>7</v>
      </c>
      <c r="K140" s="4">
        <v>172.16</v>
      </c>
      <c r="L140" s="2">
        <v>1205.1199999999999</v>
      </c>
      <c r="M140">
        <v>0.3</v>
      </c>
      <c r="N140" s="4">
        <v>147.46</v>
      </c>
      <c r="O140" t="s">
        <v>31</v>
      </c>
      <c r="P140">
        <v>9</v>
      </c>
    </row>
    <row r="141" spans="1:16" x14ac:dyDescent="0.35">
      <c r="A141" t="s">
        <v>544</v>
      </c>
      <c r="B141" s="10" t="s">
        <v>545</v>
      </c>
      <c r="C141" s="11" t="str">
        <f t="shared" si="2"/>
        <v>April</v>
      </c>
      <c r="D141" t="s">
        <v>546</v>
      </c>
      <c r="E141" t="s">
        <v>547</v>
      </c>
      <c r="F141" t="s">
        <v>44</v>
      </c>
      <c r="G141" t="s">
        <v>28</v>
      </c>
      <c r="H141" t="s">
        <v>29</v>
      </c>
      <c r="I141" t="s">
        <v>62</v>
      </c>
      <c r="J141">
        <v>7</v>
      </c>
      <c r="K141" s="4">
        <v>620.02</v>
      </c>
      <c r="L141" s="2">
        <v>4340.1400000000003</v>
      </c>
      <c r="M141">
        <v>0</v>
      </c>
      <c r="N141" s="4">
        <v>1757.59</v>
      </c>
      <c r="O141" t="s">
        <v>31</v>
      </c>
      <c r="P141">
        <v>4</v>
      </c>
    </row>
    <row r="142" spans="1:16" x14ac:dyDescent="0.35">
      <c r="A142" t="s">
        <v>548</v>
      </c>
      <c r="B142" s="10" t="s">
        <v>89</v>
      </c>
      <c r="C142" s="11" t="str">
        <f t="shared" si="2"/>
        <v>October</v>
      </c>
      <c r="D142" t="s">
        <v>549</v>
      </c>
      <c r="E142" t="s">
        <v>550</v>
      </c>
      <c r="F142" t="s">
        <v>19</v>
      </c>
      <c r="G142" t="s">
        <v>20</v>
      </c>
      <c r="H142" t="s">
        <v>29</v>
      </c>
      <c r="I142" t="s">
        <v>224</v>
      </c>
      <c r="J142">
        <v>2</v>
      </c>
      <c r="K142" s="4">
        <v>369.03</v>
      </c>
      <c r="L142" s="2">
        <v>738.06</v>
      </c>
      <c r="M142">
        <v>0</v>
      </c>
      <c r="N142" s="4">
        <v>256.05</v>
      </c>
      <c r="O142" t="s">
        <v>23</v>
      </c>
      <c r="P142">
        <v>6</v>
      </c>
    </row>
    <row r="143" spans="1:16" x14ac:dyDescent="0.35">
      <c r="A143" t="s">
        <v>551</v>
      </c>
      <c r="B143" s="10" t="s">
        <v>552</v>
      </c>
      <c r="C143" s="11" t="str">
        <f t="shared" si="2"/>
        <v>December</v>
      </c>
      <c r="D143" t="s">
        <v>553</v>
      </c>
      <c r="E143" t="s">
        <v>554</v>
      </c>
      <c r="F143" t="s">
        <v>19</v>
      </c>
      <c r="G143" t="s">
        <v>37</v>
      </c>
      <c r="H143" t="s">
        <v>21</v>
      </c>
      <c r="I143" t="s">
        <v>105</v>
      </c>
      <c r="J143">
        <v>10</v>
      </c>
      <c r="K143" s="4">
        <v>464.53</v>
      </c>
      <c r="L143" s="2">
        <v>4645.3</v>
      </c>
      <c r="M143">
        <v>0.05</v>
      </c>
      <c r="N143" s="4">
        <v>2107.94</v>
      </c>
      <c r="O143" t="s">
        <v>23</v>
      </c>
      <c r="P143">
        <v>8</v>
      </c>
    </row>
    <row r="144" spans="1:16" x14ac:dyDescent="0.35">
      <c r="A144" t="s">
        <v>555</v>
      </c>
      <c r="B144" s="10" t="s">
        <v>556</v>
      </c>
      <c r="C144" s="11" t="str">
        <f t="shared" si="2"/>
        <v>November</v>
      </c>
      <c r="D144" t="s">
        <v>210</v>
      </c>
      <c r="E144" t="s">
        <v>557</v>
      </c>
      <c r="F144" t="s">
        <v>19</v>
      </c>
      <c r="G144" t="s">
        <v>28</v>
      </c>
      <c r="H144" t="s">
        <v>29</v>
      </c>
      <c r="I144" t="s">
        <v>45</v>
      </c>
      <c r="J144">
        <v>6</v>
      </c>
      <c r="K144" s="4">
        <v>818.11</v>
      </c>
      <c r="L144" s="2">
        <v>4908.66</v>
      </c>
      <c r="M144">
        <v>0.05</v>
      </c>
      <c r="N144" s="4">
        <v>756.21</v>
      </c>
      <c r="O144" t="s">
        <v>31</v>
      </c>
      <c r="P144">
        <v>9</v>
      </c>
    </row>
    <row r="145" spans="1:16" x14ac:dyDescent="0.35">
      <c r="A145" t="s">
        <v>558</v>
      </c>
      <c r="B145" s="10" t="s">
        <v>559</v>
      </c>
      <c r="C145" s="11" t="str">
        <f t="shared" si="2"/>
        <v>October</v>
      </c>
      <c r="D145" t="s">
        <v>406</v>
      </c>
      <c r="E145" t="s">
        <v>560</v>
      </c>
      <c r="F145" t="s">
        <v>44</v>
      </c>
      <c r="G145" t="s">
        <v>57</v>
      </c>
      <c r="H145" t="s">
        <v>29</v>
      </c>
      <c r="I145" t="s">
        <v>110</v>
      </c>
      <c r="J145">
        <v>8</v>
      </c>
      <c r="K145" s="4">
        <v>1086.69</v>
      </c>
      <c r="L145" s="2">
        <v>8693.52</v>
      </c>
      <c r="M145">
        <v>0.05</v>
      </c>
      <c r="N145" s="4">
        <v>3327.19</v>
      </c>
      <c r="O145" t="s">
        <v>39</v>
      </c>
      <c r="P145">
        <v>9</v>
      </c>
    </row>
    <row r="146" spans="1:16" x14ac:dyDescent="0.35">
      <c r="A146" t="s">
        <v>561</v>
      </c>
      <c r="B146" s="10" t="s">
        <v>562</v>
      </c>
      <c r="C146" s="11" t="str">
        <f t="shared" si="2"/>
        <v>May</v>
      </c>
      <c r="D146" t="s">
        <v>303</v>
      </c>
      <c r="E146" t="s">
        <v>563</v>
      </c>
      <c r="F146" t="s">
        <v>19</v>
      </c>
      <c r="G146" t="s">
        <v>28</v>
      </c>
      <c r="H146" t="s">
        <v>21</v>
      </c>
      <c r="I146" t="s">
        <v>82</v>
      </c>
      <c r="J146">
        <v>3</v>
      </c>
      <c r="K146" s="4">
        <v>983.93</v>
      </c>
      <c r="L146" s="2">
        <v>2951.79</v>
      </c>
      <c r="M146">
        <v>0.2</v>
      </c>
      <c r="N146" s="4">
        <v>1168.06</v>
      </c>
      <c r="O146" t="s">
        <v>39</v>
      </c>
      <c r="P146">
        <v>9</v>
      </c>
    </row>
    <row r="147" spans="1:16" x14ac:dyDescent="0.35">
      <c r="A147" t="s">
        <v>564</v>
      </c>
      <c r="B147" s="10" t="s">
        <v>565</v>
      </c>
      <c r="C147" s="11" t="str">
        <f t="shared" si="2"/>
        <v>March</v>
      </c>
      <c r="D147" t="s">
        <v>566</v>
      </c>
      <c r="E147" t="s">
        <v>567</v>
      </c>
      <c r="F147" t="s">
        <v>44</v>
      </c>
      <c r="G147" t="s">
        <v>37</v>
      </c>
      <c r="H147" t="s">
        <v>29</v>
      </c>
      <c r="I147" t="s">
        <v>62</v>
      </c>
      <c r="J147">
        <v>9</v>
      </c>
      <c r="K147" s="4">
        <v>1024.3800000000001</v>
      </c>
      <c r="L147" s="2">
        <v>9219.42</v>
      </c>
      <c r="M147">
        <v>0.1</v>
      </c>
      <c r="N147" s="4">
        <v>4285.2299999999996</v>
      </c>
      <c r="O147" t="s">
        <v>39</v>
      </c>
      <c r="P147">
        <v>2</v>
      </c>
    </row>
    <row r="148" spans="1:16" x14ac:dyDescent="0.35">
      <c r="A148" t="s">
        <v>568</v>
      </c>
      <c r="B148" s="10" t="s">
        <v>569</v>
      </c>
      <c r="C148" s="11" t="str">
        <f t="shared" si="2"/>
        <v>September</v>
      </c>
      <c r="D148" t="s">
        <v>570</v>
      </c>
      <c r="E148" t="s">
        <v>571</v>
      </c>
      <c r="F148" t="s">
        <v>36</v>
      </c>
      <c r="G148" t="s">
        <v>28</v>
      </c>
      <c r="H148" t="s">
        <v>29</v>
      </c>
      <c r="I148" t="s">
        <v>45</v>
      </c>
      <c r="J148">
        <v>6</v>
      </c>
      <c r="K148" s="4">
        <v>1117.96</v>
      </c>
      <c r="L148" s="2">
        <v>6707.76</v>
      </c>
      <c r="M148">
        <v>0.15</v>
      </c>
      <c r="N148" s="4">
        <v>3014.42</v>
      </c>
      <c r="O148" t="s">
        <v>31</v>
      </c>
      <c r="P148">
        <v>6</v>
      </c>
    </row>
    <row r="149" spans="1:16" x14ac:dyDescent="0.35">
      <c r="A149" t="s">
        <v>572</v>
      </c>
      <c r="B149" s="10" t="s">
        <v>573</v>
      </c>
      <c r="C149" s="11" t="str">
        <f t="shared" si="2"/>
        <v>March</v>
      </c>
      <c r="D149" t="s">
        <v>574</v>
      </c>
      <c r="E149" t="s">
        <v>575</v>
      </c>
      <c r="F149" t="s">
        <v>36</v>
      </c>
      <c r="G149" t="s">
        <v>57</v>
      </c>
      <c r="H149" t="s">
        <v>29</v>
      </c>
      <c r="I149" t="s">
        <v>30</v>
      </c>
      <c r="J149">
        <v>6</v>
      </c>
      <c r="K149" s="4">
        <v>1118.3699999999999</v>
      </c>
      <c r="L149" s="2">
        <v>6710.22</v>
      </c>
      <c r="M149">
        <v>0.3</v>
      </c>
      <c r="N149" s="4">
        <v>1362.25</v>
      </c>
      <c r="O149" t="s">
        <v>39</v>
      </c>
      <c r="P149">
        <v>3</v>
      </c>
    </row>
    <row r="150" spans="1:16" x14ac:dyDescent="0.35">
      <c r="A150" t="s">
        <v>576</v>
      </c>
      <c r="B150" s="10" t="s">
        <v>577</v>
      </c>
      <c r="C150" s="11" t="str">
        <f t="shared" si="2"/>
        <v>April</v>
      </c>
      <c r="D150" t="s">
        <v>167</v>
      </c>
      <c r="E150" t="s">
        <v>578</v>
      </c>
      <c r="F150" t="s">
        <v>19</v>
      </c>
      <c r="G150" t="s">
        <v>28</v>
      </c>
      <c r="H150" t="s">
        <v>21</v>
      </c>
      <c r="I150" t="s">
        <v>82</v>
      </c>
      <c r="J150">
        <v>8</v>
      </c>
      <c r="K150" s="4">
        <v>746.11</v>
      </c>
      <c r="L150" s="2">
        <v>5968.88</v>
      </c>
      <c r="M150">
        <v>0</v>
      </c>
      <c r="N150" s="4">
        <v>3237.51</v>
      </c>
      <c r="O150" t="s">
        <v>31</v>
      </c>
      <c r="P150">
        <v>5</v>
      </c>
    </row>
    <row r="151" spans="1:16" x14ac:dyDescent="0.35">
      <c r="A151" t="s">
        <v>579</v>
      </c>
      <c r="B151" s="10" t="s">
        <v>478</v>
      </c>
      <c r="C151" s="11" t="str">
        <f t="shared" si="2"/>
        <v>November</v>
      </c>
      <c r="D151" t="s">
        <v>65</v>
      </c>
      <c r="E151" t="s">
        <v>580</v>
      </c>
      <c r="F151" t="s">
        <v>36</v>
      </c>
      <c r="G151" t="s">
        <v>20</v>
      </c>
      <c r="H151" t="s">
        <v>29</v>
      </c>
      <c r="I151" t="s">
        <v>110</v>
      </c>
      <c r="J151">
        <v>2</v>
      </c>
      <c r="K151" s="4">
        <v>76.34</v>
      </c>
      <c r="L151" s="2">
        <v>152.68</v>
      </c>
      <c r="M151">
        <v>0.15</v>
      </c>
      <c r="N151" s="4">
        <v>38.21</v>
      </c>
      <c r="O151" t="s">
        <v>39</v>
      </c>
      <c r="P151">
        <v>10</v>
      </c>
    </row>
    <row r="152" spans="1:16" x14ac:dyDescent="0.35">
      <c r="A152" t="s">
        <v>581</v>
      </c>
      <c r="B152" s="10" t="s">
        <v>582</v>
      </c>
      <c r="C152" s="11" t="str">
        <f t="shared" si="2"/>
        <v>August</v>
      </c>
      <c r="D152" t="s">
        <v>583</v>
      </c>
      <c r="E152" t="s">
        <v>584</v>
      </c>
      <c r="F152" t="s">
        <v>19</v>
      </c>
      <c r="G152" t="s">
        <v>57</v>
      </c>
      <c r="H152" t="s">
        <v>21</v>
      </c>
      <c r="I152" t="s">
        <v>22</v>
      </c>
      <c r="J152">
        <v>9</v>
      </c>
      <c r="K152" s="4">
        <v>698.56</v>
      </c>
      <c r="L152" s="2">
        <v>6287.04</v>
      </c>
      <c r="M152">
        <v>0.3</v>
      </c>
      <c r="N152" s="4">
        <v>2167.7600000000002</v>
      </c>
      <c r="O152" t="s">
        <v>31</v>
      </c>
      <c r="P152">
        <v>10</v>
      </c>
    </row>
    <row r="153" spans="1:16" x14ac:dyDescent="0.35">
      <c r="A153" t="s">
        <v>585</v>
      </c>
      <c r="B153" s="10" t="s">
        <v>586</v>
      </c>
      <c r="C153" s="11" t="str">
        <f t="shared" si="2"/>
        <v>September</v>
      </c>
      <c r="D153" t="s">
        <v>152</v>
      </c>
      <c r="E153" t="s">
        <v>587</v>
      </c>
      <c r="F153" t="s">
        <v>19</v>
      </c>
      <c r="G153" t="s">
        <v>20</v>
      </c>
      <c r="H153" t="s">
        <v>76</v>
      </c>
      <c r="I153" t="s">
        <v>119</v>
      </c>
      <c r="J153">
        <v>2</v>
      </c>
      <c r="K153" s="4">
        <v>637.71</v>
      </c>
      <c r="L153" s="2">
        <v>1275.42</v>
      </c>
      <c r="M153">
        <v>0.1</v>
      </c>
      <c r="N153" s="4">
        <v>600.26</v>
      </c>
      <c r="O153" t="s">
        <v>39</v>
      </c>
      <c r="P153">
        <v>8</v>
      </c>
    </row>
    <row r="154" spans="1:16" x14ac:dyDescent="0.35">
      <c r="A154" t="s">
        <v>588</v>
      </c>
      <c r="B154" s="10" t="s">
        <v>589</v>
      </c>
      <c r="C154" s="11" t="str">
        <f t="shared" si="2"/>
        <v>July</v>
      </c>
      <c r="D154" t="s">
        <v>48</v>
      </c>
      <c r="E154" t="s">
        <v>590</v>
      </c>
      <c r="F154" t="s">
        <v>44</v>
      </c>
      <c r="G154" t="s">
        <v>37</v>
      </c>
      <c r="H154" t="s">
        <v>29</v>
      </c>
      <c r="I154" t="s">
        <v>62</v>
      </c>
      <c r="J154">
        <v>7</v>
      </c>
      <c r="K154" s="4">
        <v>1177.6300000000001</v>
      </c>
      <c r="L154" s="2">
        <v>8243.41</v>
      </c>
      <c r="M154">
        <v>0.1</v>
      </c>
      <c r="N154" s="4">
        <v>1862.73</v>
      </c>
      <c r="O154" t="s">
        <v>23</v>
      </c>
      <c r="P154">
        <v>2</v>
      </c>
    </row>
    <row r="155" spans="1:16" x14ac:dyDescent="0.35">
      <c r="A155" t="s">
        <v>591</v>
      </c>
      <c r="B155" s="10" t="s">
        <v>64</v>
      </c>
      <c r="C155" s="11" t="str">
        <f t="shared" si="2"/>
        <v>November</v>
      </c>
      <c r="D155" t="s">
        <v>500</v>
      </c>
      <c r="E155" t="s">
        <v>592</v>
      </c>
      <c r="F155" t="s">
        <v>19</v>
      </c>
      <c r="G155" t="s">
        <v>28</v>
      </c>
      <c r="H155" t="s">
        <v>21</v>
      </c>
      <c r="I155" t="s">
        <v>38</v>
      </c>
      <c r="J155">
        <v>3</v>
      </c>
      <c r="K155" s="4">
        <v>72.319999999999993</v>
      </c>
      <c r="L155" s="2">
        <v>216.96</v>
      </c>
      <c r="M155">
        <v>0.2</v>
      </c>
      <c r="N155" s="4">
        <v>71.959999999999994</v>
      </c>
      <c r="O155" t="s">
        <v>23</v>
      </c>
      <c r="P155">
        <v>8</v>
      </c>
    </row>
    <row r="156" spans="1:16" x14ac:dyDescent="0.35">
      <c r="A156" t="s">
        <v>593</v>
      </c>
      <c r="B156" s="10" t="s">
        <v>594</v>
      </c>
      <c r="C156" s="11" t="str">
        <f t="shared" si="2"/>
        <v>April</v>
      </c>
      <c r="D156" t="s">
        <v>367</v>
      </c>
      <c r="E156" t="s">
        <v>595</v>
      </c>
      <c r="F156" t="s">
        <v>36</v>
      </c>
      <c r="G156" t="s">
        <v>20</v>
      </c>
      <c r="H156" t="s">
        <v>21</v>
      </c>
      <c r="I156" t="s">
        <v>105</v>
      </c>
      <c r="J156">
        <v>3</v>
      </c>
      <c r="K156" s="4">
        <v>94.46</v>
      </c>
      <c r="L156" s="2">
        <v>283.38</v>
      </c>
      <c r="M156">
        <v>0.15</v>
      </c>
      <c r="N156" s="4">
        <v>128.91999999999999</v>
      </c>
      <c r="O156" t="s">
        <v>39</v>
      </c>
      <c r="P156">
        <v>5</v>
      </c>
    </row>
    <row r="157" spans="1:16" x14ac:dyDescent="0.35">
      <c r="A157" t="s">
        <v>596</v>
      </c>
      <c r="B157" s="10" t="s">
        <v>121</v>
      </c>
      <c r="C157" s="11" t="str">
        <f t="shared" si="2"/>
        <v>April</v>
      </c>
      <c r="D157" t="s">
        <v>391</v>
      </c>
      <c r="E157" t="s">
        <v>597</v>
      </c>
      <c r="F157" t="s">
        <v>44</v>
      </c>
      <c r="G157" t="s">
        <v>20</v>
      </c>
      <c r="H157" t="s">
        <v>21</v>
      </c>
      <c r="I157" t="s">
        <v>82</v>
      </c>
      <c r="J157">
        <v>9</v>
      </c>
      <c r="K157" s="4">
        <v>578.61</v>
      </c>
      <c r="L157" s="2">
        <v>5207.49</v>
      </c>
      <c r="M157">
        <v>0</v>
      </c>
      <c r="N157" s="4">
        <v>1295.02</v>
      </c>
      <c r="O157" t="s">
        <v>23</v>
      </c>
      <c r="P157">
        <v>6</v>
      </c>
    </row>
    <row r="158" spans="1:16" x14ac:dyDescent="0.35">
      <c r="A158" t="s">
        <v>598</v>
      </c>
      <c r="B158" s="10" t="s">
        <v>599</v>
      </c>
      <c r="C158" s="11" t="str">
        <f t="shared" si="2"/>
        <v>July</v>
      </c>
      <c r="D158" t="s">
        <v>245</v>
      </c>
      <c r="E158" t="s">
        <v>600</v>
      </c>
      <c r="F158" t="s">
        <v>36</v>
      </c>
      <c r="G158" t="s">
        <v>28</v>
      </c>
      <c r="H158" t="s">
        <v>76</v>
      </c>
      <c r="I158" t="s">
        <v>77</v>
      </c>
      <c r="J158">
        <v>6</v>
      </c>
      <c r="K158" s="4">
        <v>535.6</v>
      </c>
      <c r="L158" s="2">
        <v>3213.6</v>
      </c>
      <c r="M158">
        <v>0.15</v>
      </c>
      <c r="N158" s="4">
        <v>690.2</v>
      </c>
      <c r="O158" t="s">
        <v>23</v>
      </c>
      <c r="P158">
        <v>8</v>
      </c>
    </row>
    <row r="159" spans="1:16" x14ac:dyDescent="0.35">
      <c r="A159" t="s">
        <v>601</v>
      </c>
      <c r="B159" s="10" t="s">
        <v>205</v>
      </c>
      <c r="C159" s="11" t="str">
        <f t="shared" si="2"/>
        <v>August</v>
      </c>
      <c r="D159" t="s">
        <v>602</v>
      </c>
      <c r="E159" t="s">
        <v>603</v>
      </c>
      <c r="F159" t="s">
        <v>36</v>
      </c>
      <c r="G159" t="s">
        <v>57</v>
      </c>
      <c r="H159" t="s">
        <v>76</v>
      </c>
      <c r="I159" t="s">
        <v>177</v>
      </c>
      <c r="J159">
        <v>5</v>
      </c>
      <c r="K159" s="4">
        <v>965.35</v>
      </c>
      <c r="L159" s="2">
        <v>4826.75</v>
      </c>
      <c r="M159">
        <v>0.3</v>
      </c>
      <c r="N159" s="4">
        <v>1284.5899999999999</v>
      </c>
      <c r="O159" t="s">
        <v>39</v>
      </c>
      <c r="P159">
        <v>2</v>
      </c>
    </row>
    <row r="160" spans="1:16" x14ac:dyDescent="0.35">
      <c r="A160" t="s">
        <v>604</v>
      </c>
      <c r="B160" s="10" t="s">
        <v>605</v>
      </c>
      <c r="C160" s="11" t="str">
        <f t="shared" si="2"/>
        <v>March</v>
      </c>
      <c r="D160" t="s">
        <v>318</v>
      </c>
      <c r="E160" t="s">
        <v>606</v>
      </c>
      <c r="F160" t="s">
        <v>44</v>
      </c>
      <c r="G160" t="s">
        <v>57</v>
      </c>
      <c r="H160" t="s">
        <v>29</v>
      </c>
      <c r="I160" t="s">
        <v>110</v>
      </c>
      <c r="J160">
        <v>5</v>
      </c>
      <c r="K160" s="4">
        <v>381.67</v>
      </c>
      <c r="L160" s="2">
        <v>1908.35</v>
      </c>
      <c r="M160">
        <v>0.2</v>
      </c>
      <c r="N160" s="4">
        <v>401.42</v>
      </c>
      <c r="O160" t="s">
        <v>39</v>
      </c>
      <c r="P160">
        <v>1</v>
      </c>
    </row>
    <row r="161" spans="1:16" x14ac:dyDescent="0.35">
      <c r="A161" t="s">
        <v>607</v>
      </c>
      <c r="B161" s="10" t="s">
        <v>608</v>
      </c>
      <c r="C161" s="11" t="str">
        <f t="shared" si="2"/>
        <v>January</v>
      </c>
      <c r="D161" t="s">
        <v>266</v>
      </c>
      <c r="E161" t="s">
        <v>609</v>
      </c>
      <c r="F161" t="s">
        <v>19</v>
      </c>
      <c r="G161" t="s">
        <v>28</v>
      </c>
      <c r="H161" t="s">
        <v>21</v>
      </c>
      <c r="I161" t="s">
        <v>38</v>
      </c>
      <c r="J161">
        <v>10</v>
      </c>
      <c r="K161" s="4">
        <v>1197.82</v>
      </c>
      <c r="L161" s="2">
        <v>11978.2</v>
      </c>
      <c r="M161">
        <v>0.1</v>
      </c>
      <c r="N161" s="4">
        <v>3171.72</v>
      </c>
      <c r="O161" t="s">
        <v>39</v>
      </c>
      <c r="P161">
        <v>9</v>
      </c>
    </row>
    <row r="162" spans="1:16" x14ac:dyDescent="0.35">
      <c r="A162" t="s">
        <v>610</v>
      </c>
      <c r="B162" s="10" t="s">
        <v>102</v>
      </c>
      <c r="C162" s="11" t="str">
        <f t="shared" si="2"/>
        <v>August</v>
      </c>
      <c r="D162" t="s">
        <v>611</v>
      </c>
      <c r="E162" t="s">
        <v>612</v>
      </c>
      <c r="F162" t="s">
        <v>36</v>
      </c>
      <c r="G162" t="s">
        <v>20</v>
      </c>
      <c r="H162" t="s">
        <v>21</v>
      </c>
      <c r="I162" t="s">
        <v>105</v>
      </c>
      <c r="J162">
        <v>1</v>
      </c>
      <c r="K162" s="4">
        <v>188.48</v>
      </c>
      <c r="L162" s="2">
        <v>188.48</v>
      </c>
      <c r="M162">
        <v>0.2</v>
      </c>
      <c r="N162" s="4">
        <v>42.03</v>
      </c>
      <c r="O162" t="s">
        <v>31</v>
      </c>
      <c r="P162">
        <v>6</v>
      </c>
    </row>
    <row r="163" spans="1:16" x14ac:dyDescent="0.35">
      <c r="A163" t="s">
        <v>613</v>
      </c>
      <c r="B163" s="10" t="s">
        <v>429</v>
      </c>
      <c r="C163" s="11" t="str">
        <f t="shared" si="2"/>
        <v>July</v>
      </c>
      <c r="D163" t="s">
        <v>570</v>
      </c>
      <c r="E163" t="s">
        <v>614</v>
      </c>
      <c r="F163" t="s">
        <v>44</v>
      </c>
      <c r="G163" t="s">
        <v>20</v>
      </c>
      <c r="H163" t="s">
        <v>76</v>
      </c>
      <c r="I163" t="s">
        <v>128</v>
      </c>
      <c r="J163">
        <v>10</v>
      </c>
      <c r="K163" s="4">
        <v>58.21</v>
      </c>
      <c r="L163" s="2">
        <v>582.1</v>
      </c>
      <c r="M163">
        <v>0.05</v>
      </c>
      <c r="N163" s="4">
        <v>153.94</v>
      </c>
      <c r="O163" t="s">
        <v>23</v>
      </c>
      <c r="P163">
        <v>3</v>
      </c>
    </row>
    <row r="164" spans="1:16" x14ac:dyDescent="0.35">
      <c r="A164" t="s">
        <v>615</v>
      </c>
      <c r="B164" s="10" t="s">
        <v>262</v>
      </c>
      <c r="C164" s="11" t="str">
        <f t="shared" si="2"/>
        <v>February</v>
      </c>
      <c r="D164" t="s">
        <v>249</v>
      </c>
      <c r="E164" t="s">
        <v>616</v>
      </c>
      <c r="F164" t="s">
        <v>19</v>
      </c>
      <c r="G164" t="s">
        <v>37</v>
      </c>
      <c r="H164" t="s">
        <v>21</v>
      </c>
      <c r="I164" t="s">
        <v>38</v>
      </c>
      <c r="J164">
        <v>7</v>
      </c>
      <c r="K164" s="4">
        <v>390.97</v>
      </c>
      <c r="L164" s="2">
        <v>2736.79</v>
      </c>
      <c r="M164">
        <v>0.1</v>
      </c>
      <c r="N164" s="4">
        <v>1108.78</v>
      </c>
      <c r="O164" t="s">
        <v>39</v>
      </c>
      <c r="P164">
        <v>9</v>
      </c>
    </row>
    <row r="165" spans="1:16" x14ac:dyDescent="0.35">
      <c r="A165" t="s">
        <v>617</v>
      </c>
      <c r="B165" s="10" t="s">
        <v>112</v>
      </c>
      <c r="C165" s="11" t="str">
        <f t="shared" si="2"/>
        <v>April</v>
      </c>
      <c r="D165" t="s">
        <v>618</v>
      </c>
      <c r="E165" t="s">
        <v>619</v>
      </c>
      <c r="F165" t="s">
        <v>44</v>
      </c>
      <c r="G165" t="s">
        <v>28</v>
      </c>
      <c r="H165" t="s">
        <v>76</v>
      </c>
      <c r="I165" t="s">
        <v>177</v>
      </c>
      <c r="J165">
        <v>2</v>
      </c>
      <c r="K165" s="4">
        <v>328.9</v>
      </c>
      <c r="L165" s="2">
        <v>657.8</v>
      </c>
      <c r="M165">
        <v>0.1</v>
      </c>
      <c r="N165" s="4">
        <v>158.88999999999999</v>
      </c>
      <c r="O165" t="s">
        <v>31</v>
      </c>
      <c r="P165">
        <v>2</v>
      </c>
    </row>
    <row r="166" spans="1:16" x14ac:dyDescent="0.35">
      <c r="A166" t="s">
        <v>620</v>
      </c>
      <c r="B166" s="10" t="s">
        <v>621</v>
      </c>
      <c r="C166" s="11" t="str">
        <f t="shared" si="2"/>
        <v>February</v>
      </c>
      <c r="D166" t="s">
        <v>80</v>
      </c>
      <c r="E166" t="s">
        <v>622</v>
      </c>
      <c r="F166" t="s">
        <v>44</v>
      </c>
      <c r="G166" t="s">
        <v>57</v>
      </c>
      <c r="H166" t="s">
        <v>29</v>
      </c>
      <c r="I166" t="s">
        <v>30</v>
      </c>
      <c r="J166">
        <v>8</v>
      </c>
      <c r="K166" s="4">
        <v>223.73</v>
      </c>
      <c r="L166" s="2">
        <v>1789.84</v>
      </c>
      <c r="M166">
        <v>0.3</v>
      </c>
      <c r="N166" s="4">
        <v>466.02</v>
      </c>
      <c r="O166" t="s">
        <v>23</v>
      </c>
      <c r="P166">
        <v>2</v>
      </c>
    </row>
    <row r="167" spans="1:16" x14ac:dyDescent="0.35">
      <c r="A167" t="s">
        <v>623</v>
      </c>
      <c r="B167" s="10" t="s">
        <v>624</v>
      </c>
      <c r="C167" s="11" t="str">
        <f t="shared" si="2"/>
        <v>December</v>
      </c>
      <c r="D167" t="s">
        <v>163</v>
      </c>
      <c r="E167" t="s">
        <v>625</v>
      </c>
      <c r="F167" t="s">
        <v>36</v>
      </c>
      <c r="G167" t="s">
        <v>57</v>
      </c>
      <c r="H167" t="s">
        <v>21</v>
      </c>
      <c r="I167" t="s">
        <v>71</v>
      </c>
      <c r="J167">
        <v>5</v>
      </c>
      <c r="K167" s="4">
        <v>1071.77</v>
      </c>
      <c r="L167" s="2">
        <v>5358.85</v>
      </c>
      <c r="M167">
        <v>0.05</v>
      </c>
      <c r="N167" s="4">
        <v>1350.5</v>
      </c>
      <c r="O167" t="s">
        <v>23</v>
      </c>
      <c r="P167">
        <v>4</v>
      </c>
    </row>
    <row r="168" spans="1:16" x14ac:dyDescent="0.35">
      <c r="A168" t="s">
        <v>626</v>
      </c>
      <c r="B168" s="10" t="s">
        <v>298</v>
      </c>
      <c r="C168" s="11" t="str">
        <f t="shared" si="2"/>
        <v>October</v>
      </c>
      <c r="D168" t="s">
        <v>627</v>
      </c>
      <c r="E168" t="s">
        <v>628</v>
      </c>
      <c r="F168" t="s">
        <v>44</v>
      </c>
      <c r="G168" t="s">
        <v>28</v>
      </c>
      <c r="H168" t="s">
        <v>29</v>
      </c>
      <c r="I168" t="s">
        <v>224</v>
      </c>
      <c r="J168">
        <v>3</v>
      </c>
      <c r="K168" s="4">
        <v>299.35000000000002</v>
      </c>
      <c r="L168" s="2">
        <v>898.05</v>
      </c>
      <c r="M168">
        <v>0.15</v>
      </c>
      <c r="N168" s="4">
        <v>411.81</v>
      </c>
      <c r="O168" t="s">
        <v>23</v>
      </c>
      <c r="P168">
        <v>3</v>
      </c>
    </row>
    <row r="169" spans="1:16" x14ac:dyDescent="0.35">
      <c r="A169" t="s">
        <v>629</v>
      </c>
      <c r="B169" s="10" t="s">
        <v>586</v>
      </c>
      <c r="C169" s="11" t="str">
        <f t="shared" si="2"/>
        <v>September</v>
      </c>
      <c r="D169" t="s">
        <v>337</v>
      </c>
      <c r="E169" t="s">
        <v>630</v>
      </c>
      <c r="F169" t="s">
        <v>44</v>
      </c>
      <c r="G169" t="s">
        <v>20</v>
      </c>
      <c r="H169" t="s">
        <v>21</v>
      </c>
      <c r="I169" t="s">
        <v>22</v>
      </c>
      <c r="J169">
        <v>2</v>
      </c>
      <c r="K169" s="4">
        <v>384.96</v>
      </c>
      <c r="L169" s="2">
        <v>769.92</v>
      </c>
      <c r="M169">
        <v>0.3</v>
      </c>
      <c r="N169" s="4">
        <v>141.44999999999999</v>
      </c>
      <c r="O169" t="s">
        <v>31</v>
      </c>
      <c r="P169">
        <v>6</v>
      </c>
    </row>
    <row r="170" spans="1:16" x14ac:dyDescent="0.35">
      <c r="A170" t="s">
        <v>631</v>
      </c>
      <c r="B170" s="10" t="s">
        <v>356</v>
      </c>
      <c r="C170" s="11" t="str">
        <f t="shared" si="2"/>
        <v>October</v>
      </c>
      <c r="D170" t="s">
        <v>163</v>
      </c>
      <c r="E170" t="s">
        <v>632</v>
      </c>
      <c r="F170" t="s">
        <v>19</v>
      </c>
      <c r="G170" t="s">
        <v>37</v>
      </c>
      <c r="H170" t="s">
        <v>21</v>
      </c>
      <c r="I170" t="s">
        <v>22</v>
      </c>
      <c r="J170">
        <v>8</v>
      </c>
      <c r="K170" s="4">
        <v>569.67999999999995</v>
      </c>
      <c r="L170" s="2">
        <v>4557.4399999999996</v>
      </c>
      <c r="M170">
        <v>0.2</v>
      </c>
      <c r="N170" s="4">
        <v>1502.84</v>
      </c>
      <c r="O170" t="s">
        <v>31</v>
      </c>
      <c r="P170">
        <v>7</v>
      </c>
    </row>
    <row r="171" spans="1:16" x14ac:dyDescent="0.35">
      <c r="A171" t="s">
        <v>633</v>
      </c>
      <c r="B171" s="10" t="s">
        <v>634</v>
      </c>
      <c r="C171" s="11" t="str">
        <f t="shared" si="2"/>
        <v>June</v>
      </c>
      <c r="D171" t="s">
        <v>349</v>
      </c>
      <c r="E171" t="s">
        <v>635</v>
      </c>
      <c r="F171" t="s">
        <v>36</v>
      </c>
      <c r="G171" t="s">
        <v>57</v>
      </c>
      <c r="H171" t="s">
        <v>21</v>
      </c>
      <c r="I171" t="s">
        <v>22</v>
      </c>
      <c r="J171">
        <v>2</v>
      </c>
      <c r="K171" s="4">
        <v>631.36</v>
      </c>
      <c r="L171" s="2">
        <v>1262.72</v>
      </c>
      <c r="M171">
        <v>0.1</v>
      </c>
      <c r="N171" s="4">
        <v>550.20000000000005</v>
      </c>
      <c r="O171" t="s">
        <v>23</v>
      </c>
      <c r="P171">
        <v>5</v>
      </c>
    </row>
    <row r="172" spans="1:16" x14ac:dyDescent="0.35">
      <c r="A172" t="s">
        <v>636</v>
      </c>
      <c r="B172" s="10" t="s">
        <v>637</v>
      </c>
      <c r="C172" s="11" t="str">
        <f t="shared" si="2"/>
        <v>November</v>
      </c>
      <c r="D172" t="s">
        <v>395</v>
      </c>
      <c r="E172" t="s">
        <v>638</v>
      </c>
      <c r="F172" t="s">
        <v>19</v>
      </c>
      <c r="G172" t="s">
        <v>20</v>
      </c>
      <c r="H172" t="s">
        <v>29</v>
      </c>
      <c r="I172" t="s">
        <v>110</v>
      </c>
      <c r="J172">
        <v>4</v>
      </c>
      <c r="K172" s="4">
        <v>769.37</v>
      </c>
      <c r="L172" s="2">
        <v>3077.48</v>
      </c>
      <c r="M172">
        <v>0.2</v>
      </c>
      <c r="N172" s="4">
        <v>1083.81</v>
      </c>
      <c r="O172" t="s">
        <v>23</v>
      </c>
      <c r="P172">
        <v>3</v>
      </c>
    </row>
    <row r="173" spans="1:16" x14ac:dyDescent="0.35">
      <c r="A173" t="s">
        <v>639</v>
      </c>
      <c r="B173" s="10" t="s">
        <v>640</v>
      </c>
      <c r="C173" s="11" t="str">
        <f t="shared" si="2"/>
        <v>November</v>
      </c>
      <c r="D173" t="s">
        <v>245</v>
      </c>
      <c r="E173" t="s">
        <v>641</v>
      </c>
      <c r="F173" t="s">
        <v>19</v>
      </c>
      <c r="G173" t="s">
        <v>20</v>
      </c>
      <c r="H173" t="s">
        <v>21</v>
      </c>
      <c r="I173" t="s">
        <v>71</v>
      </c>
      <c r="J173">
        <v>3</v>
      </c>
      <c r="K173" s="4">
        <v>222.02</v>
      </c>
      <c r="L173" s="2">
        <v>666.06</v>
      </c>
      <c r="M173">
        <v>0.2</v>
      </c>
      <c r="N173" s="4">
        <v>139.47</v>
      </c>
      <c r="O173" t="s">
        <v>31</v>
      </c>
      <c r="P173">
        <v>2</v>
      </c>
    </row>
    <row r="174" spans="1:16" x14ac:dyDescent="0.35">
      <c r="A174" t="s">
        <v>642</v>
      </c>
      <c r="B174" s="10" t="s">
        <v>643</v>
      </c>
      <c r="C174" s="11" t="str">
        <f t="shared" si="2"/>
        <v>August</v>
      </c>
      <c r="D174" t="s">
        <v>644</v>
      </c>
      <c r="E174" t="s">
        <v>645</v>
      </c>
      <c r="F174" t="s">
        <v>19</v>
      </c>
      <c r="G174" t="s">
        <v>20</v>
      </c>
      <c r="H174" t="s">
        <v>29</v>
      </c>
      <c r="I174" t="s">
        <v>62</v>
      </c>
      <c r="J174">
        <v>10</v>
      </c>
      <c r="K174" s="4">
        <v>332.29</v>
      </c>
      <c r="L174" s="2">
        <v>3322.9</v>
      </c>
      <c r="M174">
        <v>0.05</v>
      </c>
      <c r="N174" s="4">
        <v>767.77</v>
      </c>
      <c r="O174" t="s">
        <v>39</v>
      </c>
      <c r="P174">
        <v>9</v>
      </c>
    </row>
    <row r="175" spans="1:16" x14ac:dyDescent="0.35">
      <c r="A175" t="s">
        <v>646</v>
      </c>
      <c r="B175" s="10" t="s">
        <v>647</v>
      </c>
      <c r="C175" s="11" t="str">
        <f t="shared" si="2"/>
        <v>August</v>
      </c>
      <c r="D175" t="s">
        <v>108</v>
      </c>
      <c r="E175" t="s">
        <v>648</v>
      </c>
      <c r="F175" t="s">
        <v>19</v>
      </c>
      <c r="G175" t="s">
        <v>20</v>
      </c>
      <c r="H175" t="s">
        <v>76</v>
      </c>
      <c r="I175" t="s">
        <v>87</v>
      </c>
      <c r="J175">
        <v>8</v>
      </c>
      <c r="K175" s="4">
        <v>308.95999999999998</v>
      </c>
      <c r="L175" s="2">
        <v>2471.6799999999998</v>
      </c>
      <c r="M175">
        <v>0.3</v>
      </c>
      <c r="N175" s="4">
        <v>670.55</v>
      </c>
      <c r="O175" t="s">
        <v>31</v>
      </c>
      <c r="P175">
        <v>8</v>
      </c>
    </row>
    <row r="176" spans="1:16" x14ac:dyDescent="0.35">
      <c r="A176" t="s">
        <v>649</v>
      </c>
      <c r="B176" s="10" t="s">
        <v>650</v>
      </c>
      <c r="C176" s="11" t="str">
        <f t="shared" si="2"/>
        <v>June</v>
      </c>
      <c r="D176" t="s">
        <v>651</v>
      </c>
      <c r="E176" t="s">
        <v>652</v>
      </c>
      <c r="F176" t="s">
        <v>44</v>
      </c>
      <c r="G176" t="s">
        <v>28</v>
      </c>
      <c r="H176" t="s">
        <v>76</v>
      </c>
      <c r="I176" t="s">
        <v>128</v>
      </c>
      <c r="J176">
        <v>8</v>
      </c>
      <c r="K176" s="4">
        <v>260.75</v>
      </c>
      <c r="L176" s="2">
        <v>2086</v>
      </c>
      <c r="M176">
        <v>0.2</v>
      </c>
      <c r="N176" s="4">
        <v>821.94</v>
      </c>
      <c r="O176" t="s">
        <v>31</v>
      </c>
      <c r="P176">
        <v>6</v>
      </c>
    </row>
    <row r="177" spans="1:16" x14ac:dyDescent="0.35">
      <c r="A177" t="s">
        <v>653</v>
      </c>
      <c r="B177" s="10" t="s">
        <v>317</v>
      </c>
      <c r="C177" s="11" t="str">
        <f t="shared" si="2"/>
        <v>August</v>
      </c>
      <c r="D177" t="s">
        <v>654</v>
      </c>
      <c r="E177" t="s">
        <v>655</v>
      </c>
      <c r="F177" t="s">
        <v>36</v>
      </c>
      <c r="G177" t="s">
        <v>20</v>
      </c>
      <c r="H177" t="s">
        <v>21</v>
      </c>
      <c r="I177" t="s">
        <v>71</v>
      </c>
      <c r="J177">
        <v>2</v>
      </c>
      <c r="K177" s="4">
        <v>396.56</v>
      </c>
      <c r="L177" s="2">
        <v>793.12</v>
      </c>
      <c r="M177">
        <v>0.15</v>
      </c>
      <c r="N177" s="4">
        <v>337.74</v>
      </c>
      <c r="O177" t="s">
        <v>31</v>
      </c>
      <c r="P177">
        <v>5</v>
      </c>
    </row>
    <row r="178" spans="1:16" x14ac:dyDescent="0.35">
      <c r="A178" t="s">
        <v>656</v>
      </c>
      <c r="B178" s="10" t="s">
        <v>657</v>
      </c>
      <c r="C178" s="11" t="str">
        <f t="shared" si="2"/>
        <v>October</v>
      </c>
      <c r="D178" t="s">
        <v>658</v>
      </c>
      <c r="E178" t="s">
        <v>659</v>
      </c>
      <c r="F178" t="s">
        <v>44</v>
      </c>
      <c r="G178" t="s">
        <v>37</v>
      </c>
      <c r="H178" t="s">
        <v>76</v>
      </c>
      <c r="I178" t="s">
        <v>177</v>
      </c>
      <c r="J178">
        <v>7</v>
      </c>
      <c r="K178" s="4">
        <v>312.95999999999998</v>
      </c>
      <c r="L178" s="2">
        <v>2190.7199999999998</v>
      </c>
      <c r="M178">
        <v>0.05</v>
      </c>
      <c r="N178" s="4">
        <v>467.45</v>
      </c>
      <c r="O178" t="s">
        <v>31</v>
      </c>
      <c r="P178">
        <v>8</v>
      </c>
    </row>
    <row r="179" spans="1:16" x14ac:dyDescent="0.35">
      <c r="A179" t="s">
        <v>660</v>
      </c>
      <c r="B179" s="10" t="s">
        <v>661</v>
      </c>
      <c r="C179" s="11" t="str">
        <f t="shared" si="2"/>
        <v>July</v>
      </c>
      <c r="D179" t="s">
        <v>199</v>
      </c>
      <c r="E179" t="s">
        <v>662</v>
      </c>
      <c r="F179" t="s">
        <v>44</v>
      </c>
      <c r="G179" t="s">
        <v>37</v>
      </c>
      <c r="H179" t="s">
        <v>21</v>
      </c>
      <c r="I179" t="s">
        <v>82</v>
      </c>
      <c r="J179">
        <v>8</v>
      </c>
      <c r="K179" s="4">
        <v>1057.31</v>
      </c>
      <c r="L179" s="2">
        <v>8458.48</v>
      </c>
      <c r="M179">
        <v>0.15</v>
      </c>
      <c r="N179" s="4">
        <v>3887.69</v>
      </c>
      <c r="O179" t="s">
        <v>31</v>
      </c>
      <c r="P179">
        <v>10</v>
      </c>
    </row>
    <row r="180" spans="1:16" x14ac:dyDescent="0.35">
      <c r="A180" t="s">
        <v>663</v>
      </c>
      <c r="B180" s="10" t="s">
        <v>664</v>
      </c>
      <c r="C180" s="11" t="str">
        <f t="shared" si="2"/>
        <v>December</v>
      </c>
      <c r="D180" t="s">
        <v>665</v>
      </c>
      <c r="E180" t="s">
        <v>666</v>
      </c>
      <c r="F180" t="s">
        <v>44</v>
      </c>
      <c r="G180" t="s">
        <v>57</v>
      </c>
      <c r="H180" t="s">
        <v>76</v>
      </c>
      <c r="I180" t="s">
        <v>77</v>
      </c>
      <c r="J180">
        <v>1</v>
      </c>
      <c r="K180" s="4">
        <v>352</v>
      </c>
      <c r="L180" s="2">
        <v>352</v>
      </c>
      <c r="M180">
        <v>0.2</v>
      </c>
      <c r="N180" s="4">
        <v>55.49</v>
      </c>
      <c r="O180" t="s">
        <v>23</v>
      </c>
      <c r="P180">
        <v>1</v>
      </c>
    </row>
    <row r="181" spans="1:16" x14ac:dyDescent="0.35">
      <c r="A181" t="s">
        <v>667</v>
      </c>
      <c r="B181" s="10" t="s">
        <v>340</v>
      </c>
      <c r="C181" s="11" t="str">
        <f t="shared" si="2"/>
        <v>July</v>
      </c>
      <c r="D181" t="s">
        <v>409</v>
      </c>
      <c r="E181" t="s">
        <v>668</v>
      </c>
      <c r="F181" t="s">
        <v>36</v>
      </c>
      <c r="G181" t="s">
        <v>28</v>
      </c>
      <c r="H181" t="s">
        <v>29</v>
      </c>
      <c r="I181" t="s">
        <v>45</v>
      </c>
      <c r="J181">
        <v>3</v>
      </c>
      <c r="K181" s="4">
        <v>1061.3</v>
      </c>
      <c r="L181" s="2">
        <v>3183.9</v>
      </c>
      <c r="M181">
        <v>0.3</v>
      </c>
      <c r="N181" s="4">
        <v>899.71</v>
      </c>
      <c r="O181" t="s">
        <v>31</v>
      </c>
      <c r="P181">
        <v>10</v>
      </c>
    </row>
    <row r="182" spans="1:16" x14ac:dyDescent="0.35">
      <c r="A182" t="s">
        <v>669</v>
      </c>
      <c r="B182" s="10" t="s">
        <v>317</v>
      </c>
      <c r="C182" s="11" t="str">
        <f t="shared" si="2"/>
        <v>August</v>
      </c>
      <c r="D182" t="s">
        <v>314</v>
      </c>
      <c r="E182" t="s">
        <v>670</v>
      </c>
      <c r="F182" t="s">
        <v>19</v>
      </c>
      <c r="G182" t="s">
        <v>57</v>
      </c>
      <c r="H182" t="s">
        <v>21</v>
      </c>
      <c r="I182" t="s">
        <v>105</v>
      </c>
      <c r="J182">
        <v>6</v>
      </c>
      <c r="K182" s="4">
        <v>672.8</v>
      </c>
      <c r="L182" s="2">
        <v>4036.8</v>
      </c>
      <c r="M182">
        <v>0</v>
      </c>
      <c r="N182" s="4">
        <v>1596.39</v>
      </c>
      <c r="O182" t="s">
        <v>23</v>
      </c>
      <c r="P182">
        <v>10</v>
      </c>
    </row>
    <row r="183" spans="1:16" x14ac:dyDescent="0.35">
      <c r="A183" t="s">
        <v>671</v>
      </c>
      <c r="B183" s="10" t="s">
        <v>672</v>
      </c>
      <c r="C183" s="11" t="str">
        <f t="shared" si="2"/>
        <v>July</v>
      </c>
      <c r="D183" t="s">
        <v>413</v>
      </c>
      <c r="E183" t="s">
        <v>673</v>
      </c>
      <c r="F183" t="s">
        <v>36</v>
      </c>
      <c r="G183" t="s">
        <v>37</v>
      </c>
      <c r="H183" t="s">
        <v>29</v>
      </c>
      <c r="I183" t="s">
        <v>224</v>
      </c>
      <c r="J183">
        <v>2</v>
      </c>
      <c r="K183" s="4">
        <v>484.81</v>
      </c>
      <c r="L183" s="2">
        <v>969.62</v>
      </c>
      <c r="M183">
        <v>0.1</v>
      </c>
      <c r="N183" s="4">
        <v>285.24</v>
      </c>
      <c r="O183" t="s">
        <v>23</v>
      </c>
      <c r="P183">
        <v>9</v>
      </c>
    </row>
    <row r="184" spans="1:16" x14ac:dyDescent="0.35">
      <c r="A184" t="s">
        <v>674</v>
      </c>
      <c r="B184" s="10" t="s">
        <v>675</v>
      </c>
      <c r="C184" s="11" t="str">
        <f t="shared" si="2"/>
        <v>August</v>
      </c>
      <c r="D184" t="s">
        <v>103</v>
      </c>
      <c r="E184" t="s">
        <v>676</v>
      </c>
      <c r="F184" t="s">
        <v>44</v>
      </c>
      <c r="G184" t="s">
        <v>37</v>
      </c>
      <c r="H184" t="s">
        <v>76</v>
      </c>
      <c r="I184" t="s">
        <v>177</v>
      </c>
      <c r="J184">
        <v>1</v>
      </c>
      <c r="K184" s="4">
        <v>73.459999999999994</v>
      </c>
      <c r="L184" s="2">
        <v>73.459999999999994</v>
      </c>
      <c r="M184">
        <v>0.05</v>
      </c>
      <c r="N184" s="4">
        <v>18.46</v>
      </c>
      <c r="O184" t="s">
        <v>23</v>
      </c>
      <c r="P184">
        <v>9</v>
      </c>
    </row>
    <row r="185" spans="1:16" x14ac:dyDescent="0.35">
      <c r="A185" t="s">
        <v>677</v>
      </c>
      <c r="B185" s="10" t="s">
        <v>198</v>
      </c>
      <c r="C185" s="11" t="str">
        <f t="shared" si="2"/>
        <v>June</v>
      </c>
      <c r="D185" t="s">
        <v>678</v>
      </c>
      <c r="E185" t="s">
        <v>679</v>
      </c>
      <c r="F185" t="s">
        <v>44</v>
      </c>
      <c r="G185" t="s">
        <v>28</v>
      </c>
      <c r="H185" t="s">
        <v>29</v>
      </c>
      <c r="I185" t="s">
        <v>110</v>
      </c>
      <c r="J185">
        <v>10</v>
      </c>
      <c r="K185" s="4">
        <v>395.87</v>
      </c>
      <c r="L185" s="2">
        <v>3958.7</v>
      </c>
      <c r="M185">
        <v>0.15</v>
      </c>
      <c r="N185" s="4">
        <v>517.37</v>
      </c>
      <c r="O185" t="s">
        <v>23</v>
      </c>
      <c r="P185">
        <v>10</v>
      </c>
    </row>
    <row r="186" spans="1:16" x14ac:dyDescent="0.35">
      <c r="A186" t="s">
        <v>680</v>
      </c>
      <c r="B186" s="10" t="s">
        <v>643</v>
      </c>
      <c r="C186" s="11" t="str">
        <f t="shared" si="2"/>
        <v>August</v>
      </c>
      <c r="D186" t="s">
        <v>681</v>
      </c>
      <c r="E186" t="s">
        <v>682</v>
      </c>
      <c r="F186" t="s">
        <v>44</v>
      </c>
      <c r="G186" t="s">
        <v>20</v>
      </c>
      <c r="H186" t="s">
        <v>76</v>
      </c>
      <c r="I186" t="s">
        <v>128</v>
      </c>
      <c r="J186">
        <v>1</v>
      </c>
      <c r="K186" s="4">
        <v>454.66</v>
      </c>
      <c r="L186" s="2">
        <v>454.66</v>
      </c>
      <c r="M186">
        <v>0.3</v>
      </c>
      <c r="N186" s="4">
        <v>161.09</v>
      </c>
      <c r="O186" t="s">
        <v>23</v>
      </c>
      <c r="P186">
        <v>8</v>
      </c>
    </row>
    <row r="187" spans="1:16" x14ac:dyDescent="0.35">
      <c r="A187" t="s">
        <v>683</v>
      </c>
      <c r="B187" s="10" t="s">
        <v>684</v>
      </c>
      <c r="C187" s="11" t="str">
        <f t="shared" si="2"/>
        <v>March</v>
      </c>
      <c r="D187" t="s">
        <v>685</v>
      </c>
      <c r="E187" t="s">
        <v>686</v>
      </c>
      <c r="F187" t="s">
        <v>19</v>
      </c>
      <c r="G187" t="s">
        <v>28</v>
      </c>
      <c r="H187" t="s">
        <v>76</v>
      </c>
      <c r="I187" t="s">
        <v>177</v>
      </c>
      <c r="J187">
        <v>10</v>
      </c>
      <c r="K187" s="4">
        <v>288.5</v>
      </c>
      <c r="L187" s="2">
        <v>2885</v>
      </c>
      <c r="M187">
        <v>0</v>
      </c>
      <c r="N187" s="4">
        <v>913.36</v>
      </c>
      <c r="O187" t="s">
        <v>31</v>
      </c>
      <c r="P187">
        <v>4</v>
      </c>
    </row>
    <row r="188" spans="1:16" x14ac:dyDescent="0.35">
      <c r="A188" t="s">
        <v>687</v>
      </c>
      <c r="B188" s="10" t="s">
        <v>688</v>
      </c>
      <c r="C188" s="11" t="str">
        <f t="shared" si="2"/>
        <v>March</v>
      </c>
      <c r="D188" t="s">
        <v>337</v>
      </c>
      <c r="E188" t="s">
        <v>689</v>
      </c>
      <c r="F188" t="s">
        <v>19</v>
      </c>
      <c r="G188" t="s">
        <v>37</v>
      </c>
      <c r="H188" t="s">
        <v>29</v>
      </c>
      <c r="I188" t="s">
        <v>100</v>
      </c>
      <c r="J188">
        <v>2</v>
      </c>
      <c r="K188" s="4">
        <v>245.13</v>
      </c>
      <c r="L188" s="2">
        <v>490.26</v>
      </c>
      <c r="M188">
        <v>0.15</v>
      </c>
      <c r="N188" s="4">
        <v>176.91</v>
      </c>
      <c r="O188" t="s">
        <v>39</v>
      </c>
      <c r="P188">
        <v>9</v>
      </c>
    </row>
    <row r="189" spans="1:16" x14ac:dyDescent="0.35">
      <c r="A189" t="s">
        <v>690</v>
      </c>
      <c r="B189" s="10" t="s">
        <v>457</v>
      </c>
      <c r="C189" s="11" t="str">
        <f t="shared" si="2"/>
        <v>June</v>
      </c>
      <c r="D189" t="s">
        <v>691</v>
      </c>
      <c r="E189" t="s">
        <v>692</v>
      </c>
      <c r="F189" t="s">
        <v>44</v>
      </c>
      <c r="G189" t="s">
        <v>28</v>
      </c>
      <c r="H189" t="s">
        <v>21</v>
      </c>
      <c r="I189" t="s">
        <v>82</v>
      </c>
      <c r="J189">
        <v>1</v>
      </c>
      <c r="K189" s="4">
        <v>852.81</v>
      </c>
      <c r="L189" s="2">
        <v>852.81</v>
      </c>
      <c r="M189">
        <v>0.2</v>
      </c>
      <c r="N189" s="4">
        <v>318.64999999999998</v>
      </c>
      <c r="O189" t="s">
        <v>39</v>
      </c>
      <c r="P189">
        <v>3</v>
      </c>
    </row>
    <row r="190" spans="1:16" x14ac:dyDescent="0.35">
      <c r="A190" t="s">
        <v>693</v>
      </c>
      <c r="B190" s="10" t="s">
        <v>73</v>
      </c>
      <c r="C190" s="11" t="str">
        <f t="shared" si="2"/>
        <v>December</v>
      </c>
      <c r="D190" t="s">
        <v>694</v>
      </c>
      <c r="E190" t="s">
        <v>695</v>
      </c>
      <c r="F190" t="s">
        <v>19</v>
      </c>
      <c r="G190" t="s">
        <v>57</v>
      </c>
      <c r="H190" t="s">
        <v>76</v>
      </c>
      <c r="I190" t="s">
        <v>177</v>
      </c>
      <c r="J190">
        <v>6</v>
      </c>
      <c r="K190" s="4">
        <v>664.6</v>
      </c>
      <c r="L190" s="2">
        <v>3987.6</v>
      </c>
      <c r="M190">
        <v>0.3</v>
      </c>
      <c r="N190" s="4">
        <v>673.28</v>
      </c>
      <c r="O190" t="s">
        <v>23</v>
      </c>
      <c r="P190">
        <v>8</v>
      </c>
    </row>
    <row r="191" spans="1:16" x14ac:dyDescent="0.35">
      <c r="A191" t="s">
        <v>696</v>
      </c>
      <c r="B191" s="10" t="s">
        <v>240</v>
      </c>
      <c r="C191" s="11" t="str">
        <f t="shared" si="2"/>
        <v>June</v>
      </c>
      <c r="D191" t="s">
        <v>553</v>
      </c>
      <c r="E191" t="s">
        <v>697</v>
      </c>
      <c r="F191" t="s">
        <v>44</v>
      </c>
      <c r="G191" t="s">
        <v>37</v>
      </c>
      <c r="H191" t="s">
        <v>29</v>
      </c>
      <c r="I191" t="s">
        <v>224</v>
      </c>
      <c r="J191">
        <v>5</v>
      </c>
      <c r="K191" s="4">
        <v>678.54</v>
      </c>
      <c r="L191" s="2">
        <v>3392.7</v>
      </c>
      <c r="M191">
        <v>0.05</v>
      </c>
      <c r="N191" s="4">
        <v>558.9</v>
      </c>
      <c r="O191" t="s">
        <v>23</v>
      </c>
      <c r="P191">
        <v>8</v>
      </c>
    </row>
    <row r="192" spans="1:16" x14ac:dyDescent="0.35">
      <c r="A192" t="s">
        <v>698</v>
      </c>
      <c r="B192" s="10" t="s">
        <v>221</v>
      </c>
      <c r="C192" s="11" t="str">
        <f t="shared" si="2"/>
        <v>March</v>
      </c>
      <c r="D192" t="s">
        <v>627</v>
      </c>
      <c r="E192" t="s">
        <v>699</v>
      </c>
      <c r="F192" t="s">
        <v>19</v>
      </c>
      <c r="G192" t="s">
        <v>28</v>
      </c>
      <c r="H192" t="s">
        <v>76</v>
      </c>
      <c r="I192" t="s">
        <v>128</v>
      </c>
      <c r="J192">
        <v>6</v>
      </c>
      <c r="K192" s="4">
        <v>681.38</v>
      </c>
      <c r="L192" s="2">
        <v>4088.28</v>
      </c>
      <c r="M192">
        <v>0.3</v>
      </c>
      <c r="N192" s="4">
        <v>1260.96</v>
      </c>
      <c r="O192" t="s">
        <v>39</v>
      </c>
      <c r="P192">
        <v>6</v>
      </c>
    </row>
    <row r="193" spans="1:16" x14ac:dyDescent="0.35">
      <c r="A193" t="s">
        <v>700</v>
      </c>
      <c r="B193" s="10" t="s">
        <v>701</v>
      </c>
      <c r="C193" s="11" t="str">
        <f t="shared" si="2"/>
        <v>August</v>
      </c>
      <c r="D193" t="s">
        <v>702</v>
      </c>
      <c r="E193" t="s">
        <v>703</v>
      </c>
      <c r="F193" t="s">
        <v>44</v>
      </c>
      <c r="G193" t="s">
        <v>28</v>
      </c>
      <c r="H193" t="s">
        <v>29</v>
      </c>
      <c r="I193" t="s">
        <v>110</v>
      </c>
      <c r="J193">
        <v>1</v>
      </c>
      <c r="K193" s="4">
        <v>359.4</v>
      </c>
      <c r="L193" s="2">
        <v>359.4</v>
      </c>
      <c r="M193">
        <v>0.3</v>
      </c>
      <c r="N193" s="4">
        <v>130.41999999999999</v>
      </c>
      <c r="O193" t="s">
        <v>31</v>
      </c>
      <c r="P193">
        <v>4</v>
      </c>
    </row>
    <row r="194" spans="1:16" x14ac:dyDescent="0.35">
      <c r="A194" t="s">
        <v>704</v>
      </c>
      <c r="B194" s="10" t="s">
        <v>705</v>
      </c>
      <c r="C194" s="11" t="str">
        <f t="shared" si="2"/>
        <v>October</v>
      </c>
      <c r="D194" t="s">
        <v>146</v>
      </c>
      <c r="E194" t="s">
        <v>706</v>
      </c>
      <c r="F194" t="s">
        <v>36</v>
      </c>
      <c r="G194" t="s">
        <v>20</v>
      </c>
      <c r="H194" t="s">
        <v>21</v>
      </c>
      <c r="I194" t="s">
        <v>38</v>
      </c>
      <c r="J194">
        <v>9</v>
      </c>
      <c r="K194" s="4">
        <v>841.48</v>
      </c>
      <c r="L194" s="2">
        <v>7573.32</v>
      </c>
      <c r="M194">
        <v>0.05</v>
      </c>
      <c r="N194" s="4">
        <v>3642.72</v>
      </c>
      <c r="O194" t="s">
        <v>23</v>
      </c>
      <c r="P194">
        <v>9</v>
      </c>
    </row>
    <row r="195" spans="1:16" x14ac:dyDescent="0.35">
      <c r="A195" t="s">
        <v>707</v>
      </c>
      <c r="B195" s="10" t="s">
        <v>708</v>
      </c>
      <c r="C195" s="11" t="str">
        <f t="shared" ref="C195:C258" si="3">TEXT(B195,"MMMM")</f>
        <v>August</v>
      </c>
      <c r="D195" t="s">
        <v>126</v>
      </c>
      <c r="E195" t="s">
        <v>709</v>
      </c>
      <c r="F195" t="s">
        <v>19</v>
      </c>
      <c r="G195" t="s">
        <v>37</v>
      </c>
      <c r="H195" t="s">
        <v>29</v>
      </c>
      <c r="I195" t="s">
        <v>62</v>
      </c>
      <c r="J195">
        <v>4</v>
      </c>
      <c r="K195" s="4">
        <v>81.94</v>
      </c>
      <c r="L195" s="2">
        <v>327.76</v>
      </c>
      <c r="M195">
        <v>0.15</v>
      </c>
      <c r="N195" s="4">
        <v>116.42</v>
      </c>
      <c r="O195" t="s">
        <v>31</v>
      </c>
      <c r="P195">
        <v>9</v>
      </c>
    </row>
    <row r="196" spans="1:16" x14ac:dyDescent="0.35">
      <c r="A196" t="s">
        <v>710</v>
      </c>
      <c r="B196" s="10" t="s">
        <v>711</v>
      </c>
      <c r="C196" s="11" t="str">
        <f t="shared" si="3"/>
        <v>May</v>
      </c>
      <c r="D196" t="s">
        <v>712</v>
      </c>
      <c r="E196" t="s">
        <v>713</v>
      </c>
      <c r="F196" t="s">
        <v>44</v>
      </c>
      <c r="G196" t="s">
        <v>20</v>
      </c>
      <c r="H196" t="s">
        <v>29</v>
      </c>
      <c r="I196" t="s">
        <v>45</v>
      </c>
      <c r="J196">
        <v>8</v>
      </c>
      <c r="K196" s="4">
        <v>583.39</v>
      </c>
      <c r="L196" s="2">
        <v>4667.12</v>
      </c>
      <c r="M196">
        <v>0.05</v>
      </c>
      <c r="N196" s="4">
        <v>1097.96</v>
      </c>
      <c r="O196" t="s">
        <v>31</v>
      </c>
      <c r="P196">
        <v>10</v>
      </c>
    </row>
    <row r="197" spans="1:16" x14ac:dyDescent="0.35">
      <c r="A197" t="s">
        <v>714</v>
      </c>
      <c r="B197" s="10" t="s">
        <v>715</v>
      </c>
      <c r="C197" s="11" t="str">
        <f t="shared" si="3"/>
        <v>April</v>
      </c>
      <c r="D197" t="s">
        <v>716</v>
      </c>
      <c r="E197" t="s">
        <v>717</v>
      </c>
      <c r="F197" t="s">
        <v>44</v>
      </c>
      <c r="G197" t="s">
        <v>28</v>
      </c>
      <c r="H197" t="s">
        <v>29</v>
      </c>
      <c r="I197" t="s">
        <v>100</v>
      </c>
      <c r="J197">
        <v>1</v>
      </c>
      <c r="K197" s="4">
        <v>1097.6099999999999</v>
      </c>
      <c r="L197" s="2">
        <v>1097.6099999999999</v>
      </c>
      <c r="M197">
        <v>0.05</v>
      </c>
      <c r="N197" s="4">
        <v>399.2</v>
      </c>
      <c r="O197" t="s">
        <v>31</v>
      </c>
      <c r="P197">
        <v>5</v>
      </c>
    </row>
    <row r="198" spans="1:16" x14ac:dyDescent="0.35">
      <c r="A198" t="s">
        <v>718</v>
      </c>
      <c r="B198" s="10" t="s">
        <v>719</v>
      </c>
      <c r="C198" s="11" t="str">
        <f t="shared" si="3"/>
        <v>June</v>
      </c>
      <c r="D198" t="s">
        <v>210</v>
      </c>
      <c r="E198" t="s">
        <v>720</v>
      </c>
      <c r="F198" t="s">
        <v>44</v>
      </c>
      <c r="G198" t="s">
        <v>28</v>
      </c>
      <c r="H198" t="s">
        <v>29</v>
      </c>
      <c r="I198" t="s">
        <v>30</v>
      </c>
      <c r="J198">
        <v>5</v>
      </c>
      <c r="K198" s="4">
        <v>690.2</v>
      </c>
      <c r="L198" s="2">
        <v>3451</v>
      </c>
      <c r="M198">
        <v>0</v>
      </c>
      <c r="N198" s="4">
        <v>616.41</v>
      </c>
      <c r="O198" t="s">
        <v>31</v>
      </c>
      <c r="P198">
        <v>9</v>
      </c>
    </row>
    <row r="199" spans="1:16" x14ac:dyDescent="0.35">
      <c r="A199" t="s">
        <v>721</v>
      </c>
      <c r="B199" s="10" t="s">
        <v>722</v>
      </c>
      <c r="C199" s="11" t="str">
        <f t="shared" si="3"/>
        <v>August</v>
      </c>
      <c r="D199" t="s">
        <v>353</v>
      </c>
      <c r="E199" t="s">
        <v>723</v>
      </c>
      <c r="F199" t="s">
        <v>44</v>
      </c>
      <c r="G199" t="s">
        <v>37</v>
      </c>
      <c r="H199" t="s">
        <v>76</v>
      </c>
      <c r="I199" t="s">
        <v>87</v>
      </c>
      <c r="J199">
        <v>4</v>
      </c>
      <c r="K199" s="4">
        <v>974.4</v>
      </c>
      <c r="L199" s="2">
        <v>3897.6</v>
      </c>
      <c r="M199">
        <v>0.1</v>
      </c>
      <c r="N199" s="4">
        <v>1701.31</v>
      </c>
      <c r="O199" t="s">
        <v>31</v>
      </c>
      <c r="P199">
        <v>6</v>
      </c>
    </row>
    <row r="200" spans="1:16" x14ac:dyDescent="0.35">
      <c r="A200" t="s">
        <v>724</v>
      </c>
      <c r="B200" s="10" t="s">
        <v>725</v>
      </c>
      <c r="C200" s="11" t="str">
        <f t="shared" si="3"/>
        <v>August</v>
      </c>
      <c r="D200" t="s">
        <v>341</v>
      </c>
      <c r="E200" t="s">
        <v>726</v>
      </c>
      <c r="F200" t="s">
        <v>44</v>
      </c>
      <c r="G200" t="s">
        <v>20</v>
      </c>
      <c r="H200" t="s">
        <v>76</v>
      </c>
      <c r="I200" t="s">
        <v>177</v>
      </c>
      <c r="J200">
        <v>4</v>
      </c>
      <c r="K200" s="4">
        <v>227.08</v>
      </c>
      <c r="L200" s="2">
        <v>908.32</v>
      </c>
      <c r="M200">
        <v>0.3</v>
      </c>
      <c r="N200" s="4">
        <v>121.56</v>
      </c>
      <c r="O200" t="s">
        <v>39</v>
      </c>
      <c r="P200">
        <v>2</v>
      </c>
    </row>
    <row r="201" spans="1:16" x14ac:dyDescent="0.35">
      <c r="A201" t="s">
        <v>727</v>
      </c>
      <c r="B201" s="10" t="s">
        <v>728</v>
      </c>
      <c r="C201" s="11" t="str">
        <f t="shared" si="3"/>
        <v>July</v>
      </c>
      <c r="D201" t="s">
        <v>444</v>
      </c>
      <c r="E201" t="s">
        <v>729</v>
      </c>
      <c r="F201" t="s">
        <v>44</v>
      </c>
      <c r="G201" t="s">
        <v>57</v>
      </c>
      <c r="H201" t="s">
        <v>29</v>
      </c>
      <c r="I201" t="s">
        <v>224</v>
      </c>
      <c r="J201">
        <v>8</v>
      </c>
      <c r="K201" s="4">
        <v>401.85</v>
      </c>
      <c r="L201" s="2">
        <v>3214.8</v>
      </c>
      <c r="M201">
        <v>0.05</v>
      </c>
      <c r="N201" s="4">
        <v>1671.39</v>
      </c>
      <c r="O201" t="s">
        <v>39</v>
      </c>
      <c r="P201">
        <v>5</v>
      </c>
    </row>
    <row r="202" spans="1:16" x14ac:dyDescent="0.35">
      <c r="A202" t="s">
        <v>730</v>
      </c>
      <c r="B202" s="10" t="s">
        <v>529</v>
      </c>
      <c r="C202" s="11" t="str">
        <f t="shared" si="3"/>
        <v>February</v>
      </c>
      <c r="D202" t="s">
        <v>472</v>
      </c>
      <c r="E202" t="s">
        <v>731</v>
      </c>
      <c r="F202" t="s">
        <v>36</v>
      </c>
      <c r="G202" t="s">
        <v>28</v>
      </c>
      <c r="H202" t="s">
        <v>21</v>
      </c>
      <c r="I202" t="s">
        <v>71</v>
      </c>
      <c r="J202">
        <v>1</v>
      </c>
      <c r="K202" s="4">
        <v>328.63</v>
      </c>
      <c r="L202" s="2">
        <v>328.63</v>
      </c>
      <c r="M202">
        <v>0.1</v>
      </c>
      <c r="N202" s="4">
        <v>80.709999999999994</v>
      </c>
      <c r="O202" t="s">
        <v>39</v>
      </c>
      <c r="P202">
        <v>3</v>
      </c>
    </row>
    <row r="203" spans="1:16" x14ac:dyDescent="0.35">
      <c r="A203" t="s">
        <v>732</v>
      </c>
      <c r="B203" s="10" t="s">
        <v>133</v>
      </c>
      <c r="C203" s="11" t="str">
        <f t="shared" si="3"/>
        <v>June</v>
      </c>
      <c r="D203" t="s">
        <v>52</v>
      </c>
      <c r="E203" t="s">
        <v>733</v>
      </c>
      <c r="F203" t="s">
        <v>19</v>
      </c>
      <c r="G203" t="s">
        <v>37</v>
      </c>
      <c r="H203" t="s">
        <v>76</v>
      </c>
      <c r="I203" t="s">
        <v>177</v>
      </c>
      <c r="J203">
        <v>5</v>
      </c>
      <c r="K203" s="4">
        <v>834.54</v>
      </c>
      <c r="L203" s="2">
        <v>4172.7</v>
      </c>
      <c r="M203">
        <v>0.3</v>
      </c>
      <c r="N203" s="4">
        <v>536.12</v>
      </c>
      <c r="O203" t="s">
        <v>31</v>
      </c>
      <c r="P203">
        <v>3</v>
      </c>
    </row>
    <row r="204" spans="1:16" x14ac:dyDescent="0.35">
      <c r="A204" t="s">
        <v>734</v>
      </c>
      <c r="B204" s="10" t="s">
        <v>735</v>
      </c>
      <c r="C204" s="11" t="str">
        <f t="shared" si="3"/>
        <v>December</v>
      </c>
      <c r="D204" t="s">
        <v>736</v>
      </c>
      <c r="E204" t="s">
        <v>737</v>
      </c>
      <c r="F204" t="s">
        <v>44</v>
      </c>
      <c r="G204" t="s">
        <v>37</v>
      </c>
      <c r="H204" t="s">
        <v>76</v>
      </c>
      <c r="I204" t="s">
        <v>119</v>
      </c>
      <c r="J204">
        <v>8</v>
      </c>
      <c r="K204" s="4">
        <v>902.33</v>
      </c>
      <c r="L204" s="2">
        <v>7218.64</v>
      </c>
      <c r="M204">
        <v>0.2</v>
      </c>
      <c r="N204" s="4">
        <v>2313.14</v>
      </c>
      <c r="O204" t="s">
        <v>31</v>
      </c>
      <c r="P204">
        <v>10</v>
      </c>
    </row>
    <row r="205" spans="1:16" x14ac:dyDescent="0.35">
      <c r="A205" t="s">
        <v>738</v>
      </c>
      <c r="B205" s="10" t="s">
        <v>739</v>
      </c>
      <c r="C205" s="11" t="str">
        <f t="shared" si="3"/>
        <v>October</v>
      </c>
      <c r="D205" t="s">
        <v>740</v>
      </c>
      <c r="E205" t="s">
        <v>741</v>
      </c>
      <c r="F205" t="s">
        <v>36</v>
      </c>
      <c r="G205" t="s">
        <v>37</v>
      </c>
      <c r="H205" t="s">
        <v>29</v>
      </c>
      <c r="I205" t="s">
        <v>100</v>
      </c>
      <c r="J205">
        <v>8</v>
      </c>
      <c r="K205" s="4">
        <v>643.24</v>
      </c>
      <c r="L205" s="2">
        <v>5145.92</v>
      </c>
      <c r="M205">
        <v>0.1</v>
      </c>
      <c r="N205" s="4">
        <v>2402.54</v>
      </c>
      <c r="O205" t="s">
        <v>23</v>
      </c>
      <c r="P205">
        <v>9</v>
      </c>
    </row>
    <row r="206" spans="1:16" x14ac:dyDescent="0.35">
      <c r="A206" t="s">
        <v>742</v>
      </c>
      <c r="B206" s="10" t="s">
        <v>743</v>
      </c>
      <c r="C206" s="11" t="str">
        <f t="shared" si="3"/>
        <v>April</v>
      </c>
      <c r="D206" t="s">
        <v>744</v>
      </c>
      <c r="E206" t="s">
        <v>745</v>
      </c>
      <c r="F206" t="s">
        <v>19</v>
      </c>
      <c r="G206" t="s">
        <v>28</v>
      </c>
      <c r="H206" t="s">
        <v>29</v>
      </c>
      <c r="I206" t="s">
        <v>224</v>
      </c>
      <c r="J206">
        <v>6</v>
      </c>
      <c r="K206" s="4">
        <v>1028.29</v>
      </c>
      <c r="L206" s="2">
        <v>6169.74</v>
      </c>
      <c r="M206">
        <v>0.15</v>
      </c>
      <c r="N206" s="4">
        <v>2640.52</v>
      </c>
      <c r="O206" t="s">
        <v>31</v>
      </c>
      <c r="P206">
        <v>9</v>
      </c>
    </row>
    <row r="207" spans="1:16" x14ac:dyDescent="0.35">
      <c r="A207" t="s">
        <v>746</v>
      </c>
      <c r="B207" s="10" t="s">
        <v>608</v>
      </c>
      <c r="C207" s="11" t="str">
        <f t="shared" si="3"/>
        <v>January</v>
      </c>
      <c r="D207" t="s">
        <v>542</v>
      </c>
      <c r="E207" t="s">
        <v>747</v>
      </c>
      <c r="F207" t="s">
        <v>44</v>
      </c>
      <c r="G207" t="s">
        <v>57</v>
      </c>
      <c r="H207" t="s">
        <v>76</v>
      </c>
      <c r="I207" t="s">
        <v>77</v>
      </c>
      <c r="J207">
        <v>8</v>
      </c>
      <c r="K207" s="4">
        <v>175.69</v>
      </c>
      <c r="L207" s="2">
        <v>1405.52</v>
      </c>
      <c r="M207">
        <v>0.15</v>
      </c>
      <c r="N207" s="4">
        <v>438.79</v>
      </c>
      <c r="O207" t="s">
        <v>23</v>
      </c>
      <c r="P207">
        <v>1</v>
      </c>
    </row>
    <row r="208" spans="1:16" x14ac:dyDescent="0.35">
      <c r="A208" t="s">
        <v>748</v>
      </c>
      <c r="B208" s="10" t="s">
        <v>749</v>
      </c>
      <c r="C208" s="11" t="str">
        <f t="shared" si="3"/>
        <v>August</v>
      </c>
      <c r="D208" t="s">
        <v>750</v>
      </c>
      <c r="E208" t="s">
        <v>751</v>
      </c>
      <c r="F208" t="s">
        <v>19</v>
      </c>
      <c r="G208" t="s">
        <v>20</v>
      </c>
      <c r="H208" t="s">
        <v>76</v>
      </c>
      <c r="I208" t="s">
        <v>87</v>
      </c>
      <c r="J208">
        <v>1</v>
      </c>
      <c r="K208" s="4">
        <v>900.05</v>
      </c>
      <c r="L208" s="2">
        <v>900.05</v>
      </c>
      <c r="M208">
        <v>0.2</v>
      </c>
      <c r="N208" s="4">
        <v>374.99</v>
      </c>
      <c r="O208" t="s">
        <v>23</v>
      </c>
      <c r="P208">
        <v>1</v>
      </c>
    </row>
    <row r="209" spans="1:16" x14ac:dyDescent="0.35">
      <c r="A209" t="s">
        <v>752</v>
      </c>
      <c r="B209" s="10" t="s">
        <v>753</v>
      </c>
      <c r="C209" s="11" t="str">
        <f t="shared" si="3"/>
        <v>November</v>
      </c>
      <c r="D209" t="s">
        <v>42</v>
      </c>
      <c r="E209" t="s">
        <v>754</v>
      </c>
      <c r="F209" t="s">
        <v>19</v>
      </c>
      <c r="G209" t="s">
        <v>28</v>
      </c>
      <c r="H209" t="s">
        <v>29</v>
      </c>
      <c r="I209" t="s">
        <v>45</v>
      </c>
      <c r="J209">
        <v>1</v>
      </c>
      <c r="K209" s="4">
        <v>358.77</v>
      </c>
      <c r="L209" s="2">
        <v>358.77</v>
      </c>
      <c r="M209">
        <v>0.05</v>
      </c>
      <c r="N209" s="4">
        <v>82.62</v>
      </c>
      <c r="O209" t="s">
        <v>39</v>
      </c>
      <c r="P209">
        <v>7</v>
      </c>
    </row>
    <row r="210" spans="1:16" x14ac:dyDescent="0.35">
      <c r="A210" t="s">
        <v>755</v>
      </c>
      <c r="B210" s="10" t="s">
        <v>155</v>
      </c>
      <c r="C210" s="11" t="str">
        <f t="shared" si="3"/>
        <v>March</v>
      </c>
      <c r="D210" t="s">
        <v>702</v>
      </c>
      <c r="E210" t="s">
        <v>756</v>
      </c>
      <c r="F210" t="s">
        <v>44</v>
      </c>
      <c r="G210" t="s">
        <v>20</v>
      </c>
      <c r="H210" t="s">
        <v>76</v>
      </c>
      <c r="I210" t="s">
        <v>128</v>
      </c>
      <c r="J210">
        <v>7</v>
      </c>
      <c r="K210" s="4">
        <v>114.69</v>
      </c>
      <c r="L210" s="2">
        <v>802.83</v>
      </c>
      <c r="M210">
        <v>0.3</v>
      </c>
      <c r="N210" s="4">
        <v>112.5</v>
      </c>
      <c r="O210" t="s">
        <v>31</v>
      </c>
      <c r="P210">
        <v>9</v>
      </c>
    </row>
    <row r="211" spans="1:16" x14ac:dyDescent="0.35">
      <c r="A211" t="s">
        <v>757</v>
      </c>
      <c r="B211" s="10" t="s">
        <v>758</v>
      </c>
      <c r="C211" s="11" t="str">
        <f t="shared" si="3"/>
        <v>January</v>
      </c>
      <c r="D211" t="s">
        <v>759</v>
      </c>
      <c r="E211" t="s">
        <v>760</v>
      </c>
      <c r="F211" t="s">
        <v>44</v>
      </c>
      <c r="G211" t="s">
        <v>28</v>
      </c>
      <c r="H211" t="s">
        <v>76</v>
      </c>
      <c r="I211" t="s">
        <v>177</v>
      </c>
      <c r="J211">
        <v>3</v>
      </c>
      <c r="K211" s="4">
        <v>878.87</v>
      </c>
      <c r="L211" s="2">
        <v>2636.61</v>
      </c>
      <c r="M211">
        <v>0.05</v>
      </c>
      <c r="N211" s="4">
        <v>541.21</v>
      </c>
      <c r="O211" t="s">
        <v>23</v>
      </c>
      <c r="P211">
        <v>7</v>
      </c>
    </row>
    <row r="212" spans="1:16" x14ac:dyDescent="0.35">
      <c r="A212" t="s">
        <v>761</v>
      </c>
      <c r="B212" s="10" t="s">
        <v>762</v>
      </c>
      <c r="C212" s="11" t="str">
        <f t="shared" si="3"/>
        <v>February</v>
      </c>
      <c r="D212" t="s">
        <v>611</v>
      </c>
      <c r="E212" t="s">
        <v>763</v>
      </c>
      <c r="F212" t="s">
        <v>19</v>
      </c>
      <c r="G212" t="s">
        <v>28</v>
      </c>
      <c r="H212" t="s">
        <v>29</v>
      </c>
      <c r="I212" t="s">
        <v>224</v>
      </c>
      <c r="J212">
        <v>8</v>
      </c>
      <c r="K212" s="4">
        <v>428.47</v>
      </c>
      <c r="L212" s="2">
        <v>3427.76</v>
      </c>
      <c r="M212">
        <v>0.1</v>
      </c>
      <c r="N212" s="4">
        <v>1464.16</v>
      </c>
      <c r="O212" t="s">
        <v>23</v>
      </c>
      <c r="P212">
        <v>1</v>
      </c>
    </row>
    <row r="213" spans="1:16" x14ac:dyDescent="0.35">
      <c r="A213" t="s">
        <v>764</v>
      </c>
      <c r="B213" s="10" t="s">
        <v>416</v>
      </c>
      <c r="C213" s="11" t="str">
        <f t="shared" si="3"/>
        <v>December</v>
      </c>
      <c r="D213" t="s">
        <v>765</v>
      </c>
      <c r="E213" t="s">
        <v>766</v>
      </c>
      <c r="F213" t="s">
        <v>36</v>
      </c>
      <c r="G213" t="s">
        <v>37</v>
      </c>
      <c r="H213" t="s">
        <v>29</v>
      </c>
      <c r="I213" t="s">
        <v>224</v>
      </c>
      <c r="J213">
        <v>2</v>
      </c>
      <c r="K213" s="4">
        <v>139.06</v>
      </c>
      <c r="L213" s="2">
        <v>278.12</v>
      </c>
      <c r="M213">
        <v>0</v>
      </c>
      <c r="N213" s="4">
        <v>103.3</v>
      </c>
      <c r="O213" t="s">
        <v>23</v>
      </c>
      <c r="P213">
        <v>1</v>
      </c>
    </row>
    <row r="214" spans="1:16" x14ac:dyDescent="0.35">
      <c r="A214" t="s">
        <v>767</v>
      </c>
      <c r="B214" s="10" t="s">
        <v>768</v>
      </c>
      <c r="C214" s="11" t="str">
        <f t="shared" si="3"/>
        <v>May</v>
      </c>
      <c r="D214" t="s">
        <v>769</v>
      </c>
      <c r="E214" t="s">
        <v>770</v>
      </c>
      <c r="F214" t="s">
        <v>19</v>
      </c>
      <c r="G214" t="s">
        <v>57</v>
      </c>
      <c r="H214" t="s">
        <v>76</v>
      </c>
      <c r="I214" t="s">
        <v>128</v>
      </c>
      <c r="J214">
        <v>4</v>
      </c>
      <c r="K214" s="4">
        <v>656.92</v>
      </c>
      <c r="L214" s="2">
        <v>2627.68</v>
      </c>
      <c r="M214">
        <v>0</v>
      </c>
      <c r="N214" s="4">
        <v>1297.93</v>
      </c>
      <c r="O214" t="s">
        <v>23</v>
      </c>
      <c r="P214">
        <v>10</v>
      </c>
    </row>
    <row r="215" spans="1:16" x14ac:dyDescent="0.35">
      <c r="A215" t="s">
        <v>771</v>
      </c>
      <c r="B215" s="10" t="s">
        <v>230</v>
      </c>
      <c r="C215" s="11" t="str">
        <f t="shared" si="3"/>
        <v>September</v>
      </c>
      <c r="D215" t="s">
        <v>772</v>
      </c>
      <c r="E215" t="s">
        <v>773</v>
      </c>
      <c r="F215" t="s">
        <v>44</v>
      </c>
      <c r="G215" t="s">
        <v>57</v>
      </c>
      <c r="H215" t="s">
        <v>21</v>
      </c>
      <c r="I215" t="s">
        <v>38</v>
      </c>
      <c r="J215">
        <v>4</v>
      </c>
      <c r="K215" s="4">
        <v>376.08</v>
      </c>
      <c r="L215" s="2">
        <v>1504.32</v>
      </c>
      <c r="M215">
        <v>0.05</v>
      </c>
      <c r="N215" s="4">
        <v>222.54</v>
      </c>
      <c r="O215" t="s">
        <v>39</v>
      </c>
      <c r="P215">
        <v>1</v>
      </c>
    </row>
    <row r="216" spans="1:16" x14ac:dyDescent="0.35">
      <c r="A216" t="s">
        <v>774</v>
      </c>
      <c r="B216" s="10" t="s">
        <v>775</v>
      </c>
      <c r="C216" s="11" t="str">
        <f t="shared" si="3"/>
        <v>January</v>
      </c>
      <c r="D216" t="s">
        <v>750</v>
      </c>
      <c r="E216" t="s">
        <v>776</v>
      </c>
      <c r="F216" t="s">
        <v>19</v>
      </c>
      <c r="G216" t="s">
        <v>28</v>
      </c>
      <c r="H216" t="s">
        <v>21</v>
      </c>
      <c r="I216" t="s">
        <v>71</v>
      </c>
      <c r="J216">
        <v>3</v>
      </c>
      <c r="K216" s="4">
        <v>758.67</v>
      </c>
      <c r="L216" s="2">
        <v>2276.0100000000002</v>
      </c>
      <c r="M216">
        <v>0.15</v>
      </c>
      <c r="N216" s="4">
        <v>633.89</v>
      </c>
      <c r="O216" t="s">
        <v>23</v>
      </c>
      <c r="P216">
        <v>6</v>
      </c>
    </row>
    <row r="217" spans="1:16" x14ac:dyDescent="0.35">
      <c r="A217" t="s">
        <v>777</v>
      </c>
      <c r="B217" s="10" t="s">
        <v>194</v>
      </c>
      <c r="C217" s="11" t="str">
        <f t="shared" si="3"/>
        <v>October</v>
      </c>
      <c r="D217" t="s">
        <v>214</v>
      </c>
      <c r="E217" t="s">
        <v>778</v>
      </c>
      <c r="F217" t="s">
        <v>36</v>
      </c>
      <c r="G217" t="s">
        <v>37</v>
      </c>
      <c r="H217" t="s">
        <v>21</v>
      </c>
      <c r="I217" t="s">
        <v>82</v>
      </c>
      <c r="J217">
        <v>7</v>
      </c>
      <c r="K217" s="4">
        <v>196.08</v>
      </c>
      <c r="L217" s="2">
        <v>1372.56</v>
      </c>
      <c r="M217">
        <v>0.15</v>
      </c>
      <c r="N217" s="4">
        <v>555.86</v>
      </c>
      <c r="O217" t="s">
        <v>39</v>
      </c>
      <c r="P217">
        <v>3</v>
      </c>
    </row>
    <row r="218" spans="1:16" x14ac:dyDescent="0.35">
      <c r="A218" t="s">
        <v>779</v>
      </c>
      <c r="B218" s="10" t="s">
        <v>155</v>
      </c>
      <c r="C218" s="11" t="str">
        <f t="shared" si="3"/>
        <v>March</v>
      </c>
      <c r="D218" t="s">
        <v>780</v>
      </c>
      <c r="E218" t="s">
        <v>781</v>
      </c>
      <c r="F218" t="s">
        <v>36</v>
      </c>
      <c r="G218" t="s">
        <v>57</v>
      </c>
      <c r="H218" t="s">
        <v>76</v>
      </c>
      <c r="I218" t="s">
        <v>77</v>
      </c>
      <c r="J218">
        <v>9</v>
      </c>
      <c r="K218" s="4">
        <v>506.96</v>
      </c>
      <c r="L218" s="2">
        <v>4562.6400000000003</v>
      </c>
      <c r="M218">
        <v>0.15</v>
      </c>
      <c r="N218" s="4">
        <v>1268.52</v>
      </c>
      <c r="O218" t="s">
        <v>31</v>
      </c>
      <c r="P218">
        <v>6</v>
      </c>
    </row>
    <row r="219" spans="1:16" x14ac:dyDescent="0.35">
      <c r="A219" t="s">
        <v>782</v>
      </c>
      <c r="B219" s="10" t="s">
        <v>121</v>
      </c>
      <c r="C219" s="11" t="str">
        <f t="shared" si="3"/>
        <v>April</v>
      </c>
      <c r="D219" t="s">
        <v>303</v>
      </c>
      <c r="E219" t="s">
        <v>783</v>
      </c>
      <c r="F219" t="s">
        <v>44</v>
      </c>
      <c r="G219" t="s">
        <v>28</v>
      </c>
      <c r="H219" t="s">
        <v>21</v>
      </c>
      <c r="I219" t="s">
        <v>22</v>
      </c>
      <c r="J219">
        <v>8</v>
      </c>
      <c r="K219" s="4">
        <v>1019.62</v>
      </c>
      <c r="L219" s="2">
        <v>8156.96</v>
      </c>
      <c r="M219">
        <v>0</v>
      </c>
      <c r="N219" s="4">
        <v>2738.66</v>
      </c>
      <c r="O219" t="s">
        <v>23</v>
      </c>
      <c r="P219">
        <v>10</v>
      </c>
    </row>
    <row r="220" spans="1:16" x14ac:dyDescent="0.35">
      <c r="A220" t="s">
        <v>784</v>
      </c>
      <c r="B220" s="10" t="s">
        <v>785</v>
      </c>
      <c r="C220" s="11" t="str">
        <f t="shared" si="3"/>
        <v>October</v>
      </c>
      <c r="D220" t="s">
        <v>134</v>
      </c>
      <c r="E220" t="s">
        <v>786</v>
      </c>
      <c r="F220" t="s">
        <v>44</v>
      </c>
      <c r="G220" t="s">
        <v>37</v>
      </c>
      <c r="H220" t="s">
        <v>21</v>
      </c>
      <c r="I220" t="s">
        <v>22</v>
      </c>
      <c r="J220">
        <v>2</v>
      </c>
      <c r="K220" s="4">
        <v>242.03</v>
      </c>
      <c r="L220" s="2">
        <v>484.06</v>
      </c>
      <c r="M220">
        <v>0.2</v>
      </c>
      <c r="N220" s="4">
        <v>100.79</v>
      </c>
      <c r="O220" t="s">
        <v>39</v>
      </c>
      <c r="P220">
        <v>5</v>
      </c>
    </row>
    <row r="221" spans="1:16" x14ac:dyDescent="0.35">
      <c r="A221" t="s">
        <v>787</v>
      </c>
      <c r="B221" s="10" t="s">
        <v>788</v>
      </c>
      <c r="C221" s="11" t="str">
        <f t="shared" si="3"/>
        <v>September</v>
      </c>
      <c r="D221" t="s">
        <v>789</v>
      </c>
      <c r="E221" t="s">
        <v>790</v>
      </c>
      <c r="F221" t="s">
        <v>19</v>
      </c>
      <c r="G221" t="s">
        <v>37</v>
      </c>
      <c r="H221" t="s">
        <v>29</v>
      </c>
      <c r="I221" t="s">
        <v>224</v>
      </c>
      <c r="J221">
        <v>4</v>
      </c>
      <c r="K221" s="4">
        <v>1155.25</v>
      </c>
      <c r="L221" s="2">
        <v>4621</v>
      </c>
      <c r="M221">
        <v>0</v>
      </c>
      <c r="N221" s="4">
        <v>1161.02</v>
      </c>
      <c r="O221" t="s">
        <v>39</v>
      </c>
      <c r="P221">
        <v>4</v>
      </c>
    </row>
    <row r="222" spans="1:16" x14ac:dyDescent="0.35">
      <c r="A222" t="s">
        <v>791</v>
      </c>
      <c r="B222" s="10" t="s">
        <v>792</v>
      </c>
      <c r="C222" s="11" t="str">
        <f t="shared" si="3"/>
        <v>June</v>
      </c>
      <c r="D222" t="s">
        <v>793</v>
      </c>
      <c r="E222" t="s">
        <v>794</v>
      </c>
      <c r="F222" t="s">
        <v>44</v>
      </c>
      <c r="G222" t="s">
        <v>28</v>
      </c>
      <c r="H222" t="s">
        <v>21</v>
      </c>
      <c r="I222" t="s">
        <v>38</v>
      </c>
      <c r="J222">
        <v>5</v>
      </c>
      <c r="K222" s="4">
        <v>469.18</v>
      </c>
      <c r="L222" s="2">
        <v>2345.9</v>
      </c>
      <c r="M222">
        <v>0.2</v>
      </c>
      <c r="N222" s="4">
        <v>545.21</v>
      </c>
      <c r="O222" t="s">
        <v>39</v>
      </c>
      <c r="P222">
        <v>2</v>
      </c>
    </row>
    <row r="223" spans="1:16" x14ac:dyDescent="0.35">
      <c r="A223" t="s">
        <v>795</v>
      </c>
      <c r="B223" s="10" t="s">
        <v>796</v>
      </c>
      <c r="C223" s="11" t="str">
        <f t="shared" si="3"/>
        <v>January</v>
      </c>
      <c r="D223" t="s">
        <v>307</v>
      </c>
      <c r="E223" t="s">
        <v>797</v>
      </c>
      <c r="F223" t="s">
        <v>36</v>
      </c>
      <c r="G223" t="s">
        <v>37</v>
      </c>
      <c r="H223" t="s">
        <v>21</v>
      </c>
      <c r="I223" t="s">
        <v>82</v>
      </c>
      <c r="J223">
        <v>6</v>
      </c>
      <c r="K223" s="4">
        <v>1098.9100000000001</v>
      </c>
      <c r="L223" s="2">
        <v>6593.46</v>
      </c>
      <c r="M223">
        <v>0.1</v>
      </c>
      <c r="N223" s="4">
        <v>2521</v>
      </c>
      <c r="O223" t="s">
        <v>31</v>
      </c>
      <c r="P223">
        <v>5</v>
      </c>
    </row>
    <row r="224" spans="1:16" x14ac:dyDescent="0.35">
      <c r="A224" t="s">
        <v>798</v>
      </c>
      <c r="B224" s="10" t="s">
        <v>336</v>
      </c>
      <c r="C224" s="11" t="str">
        <f t="shared" si="3"/>
        <v>June</v>
      </c>
      <c r="D224" t="s">
        <v>799</v>
      </c>
      <c r="E224" t="s">
        <v>800</v>
      </c>
      <c r="F224" t="s">
        <v>44</v>
      </c>
      <c r="G224" t="s">
        <v>37</v>
      </c>
      <c r="H224" t="s">
        <v>21</v>
      </c>
      <c r="I224" t="s">
        <v>71</v>
      </c>
      <c r="J224">
        <v>10</v>
      </c>
      <c r="K224" s="4">
        <v>869.61</v>
      </c>
      <c r="L224" s="2">
        <v>8696.1</v>
      </c>
      <c r="M224">
        <v>0.1</v>
      </c>
      <c r="N224" s="4">
        <v>3827.43</v>
      </c>
      <c r="O224" t="s">
        <v>39</v>
      </c>
      <c r="P224">
        <v>9</v>
      </c>
    </row>
    <row r="225" spans="1:16" x14ac:dyDescent="0.35">
      <c r="A225" t="s">
        <v>801</v>
      </c>
      <c r="B225" s="10" t="s">
        <v>753</v>
      </c>
      <c r="C225" s="11" t="str">
        <f t="shared" si="3"/>
        <v>November</v>
      </c>
      <c r="D225" t="s">
        <v>549</v>
      </c>
      <c r="E225" t="s">
        <v>802</v>
      </c>
      <c r="F225" t="s">
        <v>44</v>
      </c>
      <c r="G225" t="s">
        <v>28</v>
      </c>
      <c r="H225" t="s">
        <v>21</v>
      </c>
      <c r="I225" t="s">
        <v>38</v>
      </c>
      <c r="J225">
        <v>5</v>
      </c>
      <c r="K225" s="4">
        <v>920.77</v>
      </c>
      <c r="L225" s="2">
        <v>4603.8500000000004</v>
      </c>
      <c r="M225">
        <v>0.15</v>
      </c>
      <c r="N225" s="4">
        <v>639.41999999999996</v>
      </c>
      <c r="O225" t="s">
        <v>31</v>
      </c>
      <c r="P225">
        <v>6</v>
      </c>
    </row>
    <row r="226" spans="1:16" x14ac:dyDescent="0.35">
      <c r="A226" t="s">
        <v>803</v>
      </c>
      <c r="B226" s="10" t="s">
        <v>804</v>
      </c>
      <c r="C226" s="11" t="str">
        <f t="shared" si="3"/>
        <v>January</v>
      </c>
      <c r="D226" t="s">
        <v>685</v>
      </c>
      <c r="E226" t="s">
        <v>805</v>
      </c>
      <c r="F226" t="s">
        <v>36</v>
      </c>
      <c r="G226" t="s">
        <v>20</v>
      </c>
      <c r="H226" t="s">
        <v>29</v>
      </c>
      <c r="I226" t="s">
        <v>224</v>
      </c>
      <c r="J226">
        <v>9</v>
      </c>
      <c r="K226" s="4">
        <v>596.21</v>
      </c>
      <c r="L226" s="2">
        <v>5365.89</v>
      </c>
      <c r="M226">
        <v>0.2</v>
      </c>
      <c r="N226" s="4">
        <v>660.52</v>
      </c>
      <c r="O226" t="s">
        <v>23</v>
      </c>
      <c r="P226">
        <v>1</v>
      </c>
    </row>
    <row r="227" spans="1:16" x14ac:dyDescent="0.35">
      <c r="A227" t="s">
        <v>806</v>
      </c>
      <c r="B227" s="10" t="s">
        <v>688</v>
      </c>
      <c r="C227" s="11" t="str">
        <f t="shared" si="3"/>
        <v>March</v>
      </c>
      <c r="D227" t="s">
        <v>807</v>
      </c>
      <c r="E227" t="s">
        <v>808</v>
      </c>
      <c r="F227" t="s">
        <v>36</v>
      </c>
      <c r="G227" t="s">
        <v>28</v>
      </c>
      <c r="H227" t="s">
        <v>29</v>
      </c>
      <c r="I227" t="s">
        <v>45</v>
      </c>
      <c r="J227">
        <v>3</v>
      </c>
      <c r="K227" s="4">
        <v>1014.2</v>
      </c>
      <c r="L227" s="2">
        <v>3042.6</v>
      </c>
      <c r="M227">
        <v>0.05</v>
      </c>
      <c r="N227" s="4">
        <v>1511.17</v>
      </c>
      <c r="O227" t="s">
        <v>39</v>
      </c>
      <c r="P227">
        <v>1</v>
      </c>
    </row>
    <row r="228" spans="1:16" x14ac:dyDescent="0.35">
      <c r="A228" t="s">
        <v>809</v>
      </c>
      <c r="B228" s="10" t="s">
        <v>356</v>
      </c>
      <c r="C228" s="11" t="str">
        <f t="shared" si="3"/>
        <v>October</v>
      </c>
      <c r="D228" t="s">
        <v>337</v>
      </c>
      <c r="E228" t="s">
        <v>810</v>
      </c>
      <c r="F228" t="s">
        <v>36</v>
      </c>
      <c r="G228" t="s">
        <v>20</v>
      </c>
      <c r="H228" t="s">
        <v>21</v>
      </c>
      <c r="I228" t="s">
        <v>71</v>
      </c>
      <c r="J228">
        <v>8</v>
      </c>
      <c r="K228" s="4">
        <v>797.96</v>
      </c>
      <c r="L228" s="2">
        <v>6383.68</v>
      </c>
      <c r="M228">
        <v>0</v>
      </c>
      <c r="N228" s="4">
        <v>3494.14</v>
      </c>
      <c r="O228" t="s">
        <v>23</v>
      </c>
      <c r="P228">
        <v>5</v>
      </c>
    </row>
    <row r="229" spans="1:16" x14ac:dyDescent="0.35">
      <c r="A229" t="s">
        <v>811</v>
      </c>
      <c r="B229" s="10" t="s">
        <v>812</v>
      </c>
      <c r="C229" s="11" t="str">
        <f t="shared" si="3"/>
        <v>April</v>
      </c>
      <c r="D229" t="s">
        <v>813</v>
      </c>
      <c r="E229" t="s">
        <v>814</v>
      </c>
      <c r="F229" t="s">
        <v>36</v>
      </c>
      <c r="G229" t="s">
        <v>37</v>
      </c>
      <c r="H229" t="s">
        <v>21</v>
      </c>
      <c r="I229" t="s">
        <v>38</v>
      </c>
      <c r="J229">
        <v>1</v>
      </c>
      <c r="K229" s="4">
        <v>612.61</v>
      </c>
      <c r="L229" s="2">
        <v>612.61</v>
      </c>
      <c r="M229">
        <v>0.3</v>
      </c>
      <c r="N229" s="4">
        <v>120.24</v>
      </c>
      <c r="O229" t="s">
        <v>31</v>
      </c>
      <c r="P229">
        <v>4</v>
      </c>
    </row>
    <row r="230" spans="1:16" x14ac:dyDescent="0.35">
      <c r="A230" t="s">
        <v>815</v>
      </c>
      <c r="B230" s="10" t="s">
        <v>509</v>
      </c>
      <c r="C230" s="11" t="str">
        <f t="shared" si="3"/>
        <v>February</v>
      </c>
      <c r="D230" t="s">
        <v>570</v>
      </c>
      <c r="E230" t="s">
        <v>816</v>
      </c>
      <c r="F230" t="s">
        <v>44</v>
      </c>
      <c r="G230" t="s">
        <v>28</v>
      </c>
      <c r="H230" t="s">
        <v>21</v>
      </c>
      <c r="I230" t="s">
        <v>71</v>
      </c>
      <c r="J230">
        <v>5</v>
      </c>
      <c r="K230" s="4">
        <v>981.95</v>
      </c>
      <c r="L230" s="2">
        <v>4909.75</v>
      </c>
      <c r="M230">
        <v>0.1</v>
      </c>
      <c r="N230" s="4">
        <v>1025.27</v>
      </c>
      <c r="O230" t="s">
        <v>23</v>
      </c>
      <c r="P230">
        <v>4</v>
      </c>
    </row>
    <row r="231" spans="1:16" x14ac:dyDescent="0.35">
      <c r="A231" t="s">
        <v>817</v>
      </c>
      <c r="B231" s="10" t="s">
        <v>818</v>
      </c>
      <c r="C231" s="11" t="str">
        <f t="shared" si="3"/>
        <v>November</v>
      </c>
      <c r="D231" t="s">
        <v>253</v>
      </c>
      <c r="E231" t="s">
        <v>819</v>
      </c>
      <c r="F231" t="s">
        <v>36</v>
      </c>
      <c r="G231" t="s">
        <v>20</v>
      </c>
      <c r="H231" t="s">
        <v>21</v>
      </c>
      <c r="I231" t="s">
        <v>105</v>
      </c>
      <c r="J231">
        <v>5</v>
      </c>
      <c r="K231" s="4">
        <v>827.17</v>
      </c>
      <c r="L231" s="2">
        <v>4135.8500000000004</v>
      </c>
      <c r="M231">
        <v>0</v>
      </c>
      <c r="N231" s="4">
        <v>1193.22</v>
      </c>
      <c r="O231" t="s">
        <v>39</v>
      </c>
      <c r="P231">
        <v>7</v>
      </c>
    </row>
    <row r="232" spans="1:16" x14ac:dyDescent="0.35">
      <c r="A232" t="s">
        <v>820</v>
      </c>
      <c r="B232" s="10" t="s">
        <v>821</v>
      </c>
      <c r="C232" s="11" t="str">
        <f t="shared" si="3"/>
        <v>February</v>
      </c>
      <c r="D232" t="s">
        <v>822</v>
      </c>
      <c r="E232" t="s">
        <v>823</v>
      </c>
      <c r="F232" t="s">
        <v>44</v>
      </c>
      <c r="G232" t="s">
        <v>57</v>
      </c>
      <c r="H232" t="s">
        <v>76</v>
      </c>
      <c r="I232" t="s">
        <v>177</v>
      </c>
      <c r="J232">
        <v>8</v>
      </c>
      <c r="K232" s="4">
        <v>86.22</v>
      </c>
      <c r="L232" s="2">
        <v>689.76</v>
      </c>
      <c r="M232">
        <v>0</v>
      </c>
      <c r="N232" s="4">
        <v>185.45</v>
      </c>
      <c r="O232" t="s">
        <v>23</v>
      </c>
      <c r="P232">
        <v>2</v>
      </c>
    </row>
    <row r="233" spans="1:16" x14ac:dyDescent="0.35">
      <c r="A233" t="s">
        <v>824</v>
      </c>
      <c r="B233" s="10" t="s">
        <v>825</v>
      </c>
      <c r="C233" s="11" t="str">
        <f t="shared" si="3"/>
        <v>September</v>
      </c>
      <c r="D233" t="s">
        <v>566</v>
      </c>
      <c r="E233" t="s">
        <v>826</v>
      </c>
      <c r="F233" t="s">
        <v>36</v>
      </c>
      <c r="G233" t="s">
        <v>20</v>
      </c>
      <c r="H233" t="s">
        <v>21</v>
      </c>
      <c r="I233" t="s">
        <v>22</v>
      </c>
      <c r="J233">
        <v>4</v>
      </c>
      <c r="K233" s="4">
        <v>269.47000000000003</v>
      </c>
      <c r="L233" s="2">
        <v>1077.8800000000001</v>
      </c>
      <c r="M233">
        <v>0.3</v>
      </c>
      <c r="N233" s="4">
        <v>147.11000000000001</v>
      </c>
      <c r="O233" t="s">
        <v>23</v>
      </c>
      <c r="P233">
        <v>5</v>
      </c>
    </row>
    <row r="234" spans="1:16" x14ac:dyDescent="0.35">
      <c r="A234" t="s">
        <v>827</v>
      </c>
      <c r="B234" s="10" t="s">
        <v>828</v>
      </c>
      <c r="C234" s="11" t="str">
        <f t="shared" si="3"/>
        <v>April</v>
      </c>
      <c r="D234" t="s">
        <v>330</v>
      </c>
      <c r="E234" t="s">
        <v>829</v>
      </c>
      <c r="F234" t="s">
        <v>36</v>
      </c>
      <c r="G234" t="s">
        <v>28</v>
      </c>
      <c r="H234" t="s">
        <v>21</v>
      </c>
      <c r="I234" t="s">
        <v>71</v>
      </c>
      <c r="J234">
        <v>1</v>
      </c>
      <c r="K234" s="4">
        <v>231.64</v>
      </c>
      <c r="L234" s="2">
        <v>231.64</v>
      </c>
      <c r="M234">
        <v>0.1</v>
      </c>
      <c r="N234" s="4">
        <v>113.36</v>
      </c>
      <c r="O234" t="s">
        <v>31</v>
      </c>
      <c r="P234">
        <v>5</v>
      </c>
    </row>
    <row r="235" spans="1:16" x14ac:dyDescent="0.35">
      <c r="A235" t="s">
        <v>830</v>
      </c>
      <c r="B235" s="10" t="s">
        <v>89</v>
      </c>
      <c r="C235" s="11" t="str">
        <f t="shared" si="3"/>
        <v>October</v>
      </c>
      <c r="D235" t="s">
        <v>188</v>
      </c>
      <c r="E235" t="s">
        <v>831</v>
      </c>
      <c r="F235" t="s">
        <v>44</v>
      </c>
      <c r="G235" t="s">
        <v>37</v>
      </c>
      <c r="H235" t="s">
        <v>29</v>
      </c>
      <c r="I235" t="s">
        <v>100</v>
      </c>
      <c r="J235">
        <v>4</v>
      </c>
      <c r="K235" s="4">
        <v>688.7</v>
      </c>
      <c r="L235" s="2">
        <v>2754.8</v>
      </c>
      <c r="M235">
        <v>0.15</v>
      </c>
      <c r="N235" s="4">
        <v>653.74</v>
      </c>
      <c r="O235" t="s">
        <v>23</v>
      </c>
      <c r="P235">
        <v>2</v>
      </c>
    </row>
    <row r="236" spans="1:16" x14ac:dyDescent="0.35">
      <c r="A236" t="s">
        <v>832</v>
      </c>
      <c r="B236" s="10" t="s">
        <v>33</v>
      </c>
      <c r="C236" s="11" t="str">
        <f t="shared" si="3"/>
        <v>June</v>
      </c>
      <c r="D236" t="s">
        <v>602</v>
      </c>
      <c r="E236" t="s">
        <v>833</v>
      </c>
      <c r="F236" t="s">
        <v>19</v>
      </c>
      <c r="G236" t="s">
        <v>28</v>
      </c>
      <c r="H236" t="s">
        <v>21</v>
      </c>
      <c r="I236" t="s">
        <v>38</v>
      </c>
      <c r="J236">
        <v>1</v>
      </c>
      <c r="K236" s="4">
        <v>135.27000000000001</v>
      </c>
      <c r="L236" s="2">
        <v>135.27000000000001</v>
      </c>
      <c r="M236">
        <v>0.05</v>
      </c>
      <c r="N236" s="4">
        <v>27.57</v>
      </c>
      <c r="O236" t="s">
        <v>39</v>
      </c>
      <c r="P236">
        <v>1</v>
      </c>
    </row>
    <row r="237" spans="1:16" x14ac:dyDescent="0.35">
      <c r="A237" t="s">
        <v>834</v>
      </c>
      <c r="B237" s="10" t="s">
        <v>835</v>
      </c>
      <c r="C237" s="11" t="str">
        <f t="shared" si="3"/>
        <v>July</v>
      </c>
      <c r="D237" t="s">
        <v>385</v>
      </c>
      <c r="E237" t="s">
        <v>836</v>
      </c>
      <c r="F237" t="s">
        <v>36</v>
      </c>
      <c r="G237" t="s">
        <v>28</v>
      </c>
      <c r="H237" t="s">
        <v>21</v>
      </c>
      <c r="I237" t="s">
        <v>38</v>
      </c>
      <c r="J237">
        <v>8</v>
      </c>
      <c r="K237" s="4">
        <v>598.91</v>
      </c>
      <c r="L237" s="2">
        <v>4791.28</v>
      </c>
      <c r="M237">
        <v>0.1</v>
      </c>
      <c r="N237" s="4">
        <v>1417.77</v>
      </c>
      <c r="O237" t="s">
        <v>31</v>
      </c>
      <c r="P237">
        <v>10</v>
      </c>
    </row>
    <row r="238" spans="1:16" x14ac:dyDescent="0.35">
      <c r="A238" t="s">
        <v>837</v>
      </c>
      <c r="B238" s="10" t="s">
        <v>838</v>
      </c>
      <c r="C238" s="11" t="str">
        <f t="shared" si="3"/>
        <v>November</v>
      </c>
      <c r="D238" t="s">
        <v>839</v>
      </c>
      <c r="E238" t="s">
        <v>840</v>
      </c>
      <c r="F238" t="s">
        <v>19</v>
      </c>
      <c r="G238" t="s">
        <v>28</v>
      </c>
      <c r="H238" t="s">
        <v>76</v>
      </c>
      <c r="I238" t="s">
        <v>119</v>
      </c>
      <c r="J238">
        <v>2</v>
      </c>
      <c r="K238" s="4">
        <v>116.8</v>
      </c>
      <c r="L238" s="2">
        <v>233.6</v>
      </c>
      <c r="M238">
        <v>0.05</v>
      </c>
      <c r="N238" s="4">
        <v>88.32</v>
      </c>
      <c r="O238" t="s">
        <v>39</v>
      </c>
      <c r="P238">
        <v>6</v>
      </c>
    </row>
    <row r="239" spans="1:16" x14ac:dyDescent="0.35">
      <c r="A239" t="s">
        <v>841</v>
      </c>
      <c r="B239" s="10" t="s">
        <v>842</v>
      </c>
      <c r="C239" s="11" t="str">
        <f t="shared" si="3"/>
        <v>May</v>
      </c>
      <c r="D239" t="s">
        <v>843</v>
      </c>
      <c r="E239" t="s">
        <v>844</v>
      </c>
      <c r="F239" t="s">
        <v>36</v>
      </c>
      <c r="G239" t="s">
        <v>20</v>
      </c>
      <c r="H239" t="s">
        <v>29</v>
      </c>
      <c r="I239" t="s">
        <v>30</v>
      </c>
      <c r="J239">
        <v>1</v>
      </c>
      <c r="K239" s="4">
        <v>1132.69</v>
      </c>
      <c r="L239" s="2">
        <v>1132.69</v>
      </c>
      <c r="M239">
        <v>0.15</v>
      </c>
      <c r="N239" s="4">
        <v>390.92</v>
      </c>
      <c r="O239" t="s">
        <v>31</v>
      </c>
      <c r="P239">
        <v>7</v>
      </c>
    </row>
    <row r="240" spans="1:16" x14ac:dyDescent="0.35">
      <c r="A240" t="s">
        <v>845</v>
      </c>
      <c r="B240" s="10" t="s">
        <v>471</v>
      </c>
      <c r="C240" s="11" t="str">
        <f t="shared" si="3"/>
        <v>July</v>
      </c>
      <c r="D240" t="s">
        <v>526</v>
      </c>
      <c r="E240" t="s">
        <v>846</v>
      </c>
      <c r="F240" t="s">
        <v>36</v>
      </c>
      <c r="G240" t="s">
        <v>57</v>
      </c>
      <c r="H240" t="s">
        <v>76</v>
      </c>
      <c r="I240" t="s">
        <v>177</v>
      </c>
      <c r="J240">
        <v>9</v>
      </c>
      <c r="K240" s="4">
        <v>624.67999999999995</v>
      </c>
      <c r="L240" s="2">
        <v>5622.12</v>
      </c>
      <c r="M240">
        <v>0</v>
      </c>
      <c r="N240" s="4">
        <v>3033.11</v>
      </c>
      <c r="O240" t="s">
        <v>39</v>
      </c>
      <c r="P240">
        <v>1</v>
      </c>
    </row>
    <row r="241" spans="1:16" x14ac:dyDescent="0.35">
      <c r="A241" t="s">
        <v>847</v>
      </c>
      <c r="B241" s="10" t="s">
        <v>217</v>
      </c>
      <c r="C241" s="11" t="str">
        <f t="shared" si="3"/>
        <v>May</v>
      </c>
      <c r="D241" t="s">
        <v>627</v>
      </c>
      <c r="E241" t="s">
        <v>848</v>
      </c>
      <c r="F241" t="s">
        <v>19</v>
      </c>
      <c r="G241" t="s">
        <v>37</v>
      </c>
      <c r="H241" t="s">
        <v>76</v>
      </c>
      <c r="I241" t="s">
        <v>128</v>
      </c>
      <c r="J241">
        <v>7</v>
      </c>
      <c r="K241" s="4">
        <v>939.42</v>
      </c>
      <c r="L241" s="2">
        <v>6575.94</v>
      </c>
      <c r="M241">
        <v>0.3</v>
      </c>
      <c r="N241" s="4">
        <v>872.51</v>
      </c>
      <c r="O241" t="s">
        <v>23</v>
      </c>
      <c r="P241">
        <v>7</v>
      </c>
    </row>
    <row r="242" spans="1:16" x14ac:dyDescent="0.35">
      <c r="A242" t="s">
        <v>849</v>
      </c>
      <c r="B242" s="10" t="s">
        <v>605</v>
      </c>
      <c r="C242" s="11" t="str">
        <f t="shared" si="3"/>
        <v>March</v>
      </c>
      <c r="D242" t="s">
        <v>191</v>
      </c>
      <c r="E242" t="s">
        <v>850</v>
      </c>
      <c r="F242" t="s">
        <v>44</v>
      </c>
      <c r="G242" t="s">
        <v>28</v>
      </c>
      <c r="H242" t="s">
        <v>29</v>
      </c>
      <c r="I242" t="s">
        <v>224</v>
      </c>
      <c r="J242">
        <v>5</v>
      </c>
      <c r="K242" s="4">
        <v>375.33</v>
      </c>
      <c r="L242" s="2">
        <v>1876.65</v>
      </c>
      <c r="M242">
        <v>0.15</v>
      </c>
      <c r="N242" s="4">
        <v>784.22</v>
      </c>
      <c r="O242" t="s">
        <v>39</v>
      </c>
      <c r="P242">
        <v>8</v>
      </c>
    </row>
    <row r="243" spans="1:16" x14ac:dyDescent="0.35">
      <c r="A243" t="s">
        <v>851</v>
      </c>
      <c r="B243" s="10" t="s">
        <v>141</v>
      </c>
      <c r="C243" s="11" t="str">
        <f t="shared" si="3"/>
        <v>November</v>
      </c>
      <c r="D243" t="s">
        <v>479</v>
      </c>
      <c r="E243" t="s">
        <v>852</v>
      </c>
      <c r="F243" t="s">
        <v>36</v>
      </c>
      <c r="G243" t="s">
        <v>28</v>
      </c>
      <c r="H243" t="s">
        <v>29</v>
      </c>
      <c r="I243" t="s">
        <v>110</v>
      </c>
      <c r="J243">
        <v>5</v>
      </c>
      <c r="K243" s="4">
        <v>1134.18</v>
      </c>
      <c r="L243" s="2">
        <v>5670.9</v>
      </c>
      <c r="M243">
        <v>0.3</v>
      </c>
      <c r="N243" s="4">
        <v>1190.8399999999999</v>
      </c>
      <c r="O243" t="s">
        <v>31</v>
      </c>
      <c r="P243">
        <v>3</v>
      </c>
    </row>
    <row r="244" spans="1:16" x14ac:dyDescent="0.35">
      <c r="A244" t="s">
        <v>853</v>
      </c>
      <c r="B244" s="10" t="s">
        <v>336</v>
      </c>
      <c r="C244" s="11" t="str">
        <f t="shared" si="3"/>
        <v>June</v>
      </c>
      <c r="D244" t="s">
        <v>406</v>
      </c>
      <c r="E244" t="s">
        <v>854</v>
      </c>
      <c r="F244" t="s">
        <v>44</v>
      </c>
      <c r="G244" t="s">
        <v>28</v>
      </c>
      <c r="H244" t="s">
        <v>76</v>
      </c>
      <c r="I244" t="s">
        <v>77</v>
      </c>
      <c r="J244">
        <v>7</v>
      </c>
      <c r="K244" s="4">
        <v>412.02</v>
      </c>
      <c r="L244" s="2">
        <v>2884.14</v>
      </c>
      <c r="M244">
        <v>0.2</v>
      </c>
      <c r="N244" s="4">
        <v>918.41</v>
      </c>
      <c r="O244" t="s">
        <v>23</v>
      </c>
      <c r="P244">
        <v>10</v>
      </c>
    </row>
    <row r="245" spans="1:16" x14ac:dyDescent="0.35">
      <c r="A245" t="s">
        <v>855</v>
      </c>
      <c r="B245" s="10" t="s">
        <v>145</v>
      </c>
      <c r="C245" s="11" t="str">
        <f t="shared" si="3"/>
        <v>June</v>
      </c>
      <c r="D245" t="s">
        <v>856</v>
      </c>
      <c r="E245" t="s">
        <v>857</v>
      </c>
      <c r="F245" t="s">
        <v>44</v>
      </c>
      <c r="G245" t="s">
        <v>57</v>
      </c>
      <c r="H245" t="s">
        <v>29</v>
      </c>
      <c r="I245" t="s">
        <v>110</v>
      </c>
      <c r="J245">
        <v>6</v>
      </c>
      <c r="K245" s="4">
        <v>731.79</v>
      </c>
      <c r="L245" s="2">
        <v>4390.74</v>
      </c>
      <c r="M245">
        <v>0.3</v>
      </c>
      <c r="N245" s="4">
        <v>1443.51</v>
      </c>
      <c r="O245" t="s">
        <v>39</v>
      </c>
      <c r="P245">
        <v>8</v>
      </c>
    </row>
    <row r="246" spans="1:16" x14ac:dyDescent="0.35">
      <c r="A246" t="s">
        <v>858</v>
      </c>
      <c r="B246" s="10" t="s">
        <v>739</v>
      </c>
      <c r="C246" s="11" t="str">
        <f t="shared" si="3"/>
        <v>October</v>
      </c>
      <c r="D246" t="s">
        <v>859</v>
      </c>
      <c r="E246" t="s">
        <v>860</v>
      </c>
      <c r="F246" t="s">
        <v>19</v>
      </c>
      <c r="G246" t="s">
        <v>37</v>
      </c>
      <c r="H246" t="s">
        <v>21</v>
      </c>
      <c r="I246" t="s">
        <v>105</v>
      </c>
      <c r="J246">
        <v>6</v>
      </c>
      <c r="K246" s="4">
        <v>463.75</v>
      </c>
      <c r="L246" s="2">
        <v>2782.5</v>
      </c>
      <c r="M246">
        <v>0.15</v>
      </c>
      <c r="N246" s="4">
        <v>955.5</v>
      </c>
      <c r="O246" t="s">
        <v>23</v>
      </c>
      <c r="P246">
        <v>9</v>
      </c>
    </row>
    <row r="247" spans="1:16" x14ac:dyDescent="0.35">
      <c r="A247" t="s">
        <v>861</v>
      </c>
      <c r="B247" s="10" t="s">
        <v>862</v>
      </c>
      <c r="C247" s="11" t="str">
        <f t="shared" si="3"/>
        <v>May</v>
      </c>
      <c r="D247" t="s">
        <v>863</v>
      </c>
      <c r="E247" t="s">
        <v>864</v>
      </c>
      <c r="F247" t="s">
        <v>36</v>
      </c>
      <c r="G247" t="s">
        <v>28</v>
      </c>
      <c r="H247" t="s">
        <v>29</v>
      </c>
      <c r="I247" t="s">
        <v>62</v>
      </c>
      <c r="J247">
        <v>8</v>
      </c>
      <c r="K247" s="4">
        <v>1132.71</v>
      </c>
      <c r="L247" s="2">
        <v>9061.68</v>
      </c>
      <c r="M247">
        <v>0.05</v>
      </c>
      <c r="N247" s="4">
        <v>3224.94</v>
      </c>
      <c r="O247" t="s">
        <v>23</v>
      </c>
      <c r="P247">
        <v>8</v>
      </c>
    </row>
    <row r="248" spans="1:16" x14ac:dyDescent="0.35">
      <c r="A248" t="s">
        <v>865</v>
      </c>
      <c r="B248" s="10" t="s">
        <v>749</v>
      </c>
      <c r="C248" s="11" t="str">
        <f t="shared" si="3"/>
        <v>August</v>
      </c>
      <c r="D248" t="s">
        <v>866</v>
      </c>
      <c r="E248" t="s">
        <v>867</v>
      </c>
      <c r="F248" t="s">
        <v>36</v>
      </c>
      <c r="G248" t="s">
        <v>28</v>
      </c>
      <c r="H248" t="s">
        <v>29</v>
      </c>
      <c r="I248" t="s">
        <v>62</v>
      </c>
      <c r="J248">
        <v>5</v>
      </c>
      <c r="K248" s="4">
        <v>305.58</v>
      </c>
      <c r="L248" s="2">
        <v>1527.9</v>
      </c>
      <c r="M248">
        <v>0.3</v>
      </c>
      <c r="N248" s="4">
        <v>522.29999999999995</v>
      </c>
      <c r="O248" t="s">
        <v>23</v>
      </c>
      <c r="P248">
        <v>8</v>
      </c>
    </row>
    <row r="249" spans="1:16" x14ac:dyDescent="0.35">
      <c r="A249" t="s">
        <v>868</v>
      </c>
      <c r="B249" s="10" t="s">
        <v>869</v>
      </c>
      <c r="C249" s="11" t="str">
        <f t="shared" si="3"/>
        <v>January</v>
      </c>
      <c r="D249" t="s">
        <v>870</v>
      </c>
      <c r="E249" t="s">
        <v>871</v>
      </c>
      <c r="F249" t="s">
        <v>19</v>
      </c>
      <c r="G249" t="s">
        <v>20</v>
      </c>
      <c r="H249" t="s">
        <v>21</v>
      </c>
      <c r="I249" t="s">
        <v>82</v>
      </c>
      <c r="J249">
        <v>9</v>
      </c>
      <c r="K249" s="4">
        <v>617.79999999999995</v>
      </c>
      <c r="L249" s="2">
        <v>5560.2</v>
      </c>
      <c r="M249">
        <v>0.3</v>
      </c>
      <c r="N249" s="4">
        <v>1489.44</v>
      </c>
      <c r="O249" t="s">
        <v>31</v>
      </c>
      <c r="P249">
        <v>4</v>
      </c>
    </row>
    <row r="250" spans="1:16" x14ac:dyDescent="0.35">
      <c r="A250" t="s">
        <v>872</v>
      </c>
      <c r="B250" s="10" t="s">
        <v>285</v>
      </c>
      <c r="C250" s="11" t="str">
        <f t="shared" si="3"/>
        <v>November</v>
      </c>
      <c r="D250" t="s">
        <v>17</v>
      </c>
      <c r="E250" t="s">
        <v>873</v>
      </c>
      <c r="F250" t="s">
        <v>19</v>
      </c>
      <c r="G250" t="s">
        <v>28</v>
      </c>
      <c r="H250" t="s">
        <v>21</v>
      </c>
      <c r="I250" t="s">
        <v>38</v>
      </c>
      <c r="J250">
        <v>3</v>
      </c>
      <c r="K250" s="4">
        <v>783.46</v>
      </c>
      <c r="L250" s="2">
        <v>2350.38</v>
      </c>
      <c r="M250">
        <v>0</v>
      </c>
      <c r="N250" s="4">
        <v>763.2</v>
      </c>
      <c r="O250" t="s">
        <v>39</v>
      </c>
      <c r="P250">
        <v>7</v>
      </c>
    </row>
    <row r="251" spans="1:16" x14ac:dyDescent="0.35">
      <c r="A251" t="s">
        <v>874</v>
      </c>
      <c r="B251" s="10" t="s">
        <v>875</v>
      </c>
      <c r="C251" s="11" t="str">
        <f t="shared" si="3"/>
        <v>October</v>
      </c>
      <c r="D251" t="s">
        <v>206</v>
      </c>
      <c r="E251" t="s">
        <v>876</v>
      </c>
      <c r="F251" t="s">
        <v>19</v>
      </c>
      <c r="G251" t="s">
        <v>37</v>
      </c>
      <c r="H251" t="s">
        <v>29</v>
      </c>
      <c r="I251" t="s">
        <v>30</v>
      </c>
      <c r="J251">
        <v>2</v>
      </c>
      <c r="K251" s="4">
        <v>325.31</v>
      </c>
      <c r="L251" s="2">
        <v>650.62</v>
      </c>
      <c r="M251">
        <v>0.2</v>
      </c>
      <c r="N251" s="4">
        <v>130.78</v>
      </c>
      <c r="O251" t="s">
        <v>39</v>
      </c>
      <c r="P251">
        <v>6</v>
      </c>
    </row>
    <row r="252" spans="1:16" x14ac:dyDescent="0.35">
      <c r="A252" t="s">
        <v>877</v>
      </c>
      <c r="B252" s="10" t="s">
        <v>878</v>
      </c>
      <c r="C252" s="11" t="str">
        <f t="shared" si="3"/>
        <v>January</v>
      </c>
      <c r="D252" t="s">
        <v>879</v>
      </c>
      <c r="E252" t="s">
        <v>880</v>
      </c>
      <c r="F252" t="s">
        <v>36</v>
      </c>
      <c r="G252" t="s">
        <v>57</v>
      </c>
      <c r="H252" t="s">
        <v>76</v>
      </c>
      <c r="I252" t="s">
        <v>128</v>
      </c>
      <c r="J252">
        <v>10</v>
      </c>
      <c r="K252" s="4">
        <v>834.72</v>
      </c>
      <c r="L252" s="2">
        <v>8347.2000000000007</v>
      </c>
      <c r="M252">
        <v>0.05</v>
      </c>
      <c r="N252" s="4">
        <v>3267.2</v>
      </c>
      <c r="O252" t="s">
        <v>39</v>
      </c>
      <c r="P252">
        <v>2</v>
      </c>
    </row>
    <row r="253" spans="1:16" x14ac:dyDescent="0.35">
      <c r="A253" t="s">
        <v>881</v>
      </c>
      <c r="B253" s="10" t="s">
        <v>743</v>
      </c>
      <c r="C253" s="11" t="str">
        <f t="shared" si="3"/>
        <v>April</v>
      </c>
      <c r="D253" t="s">
        <v>451</v>
      </c>
      <c r="E253" t="s">
        <v>882</v>
      </c>
      <c r="F253" t="s">
        <v>44</v>
      </c>
      <c r="G253" t="s">
        <v>57</v>
      </c>
      <c r="H253" t="s">
        <v>29</v>
      </c>
      <c r="I253" t="s">
        <v>62</v>
      </c>
      <c r="J253">
        <v>3</v>
      </c>
      <c r="K253" s="4">
        <v>431.03</v>
      </c>
      <c r="L253" s="2">
        <v>1293.0899999999999</v>
      </c>
      <c r="M253">
        <v>0.1</v>
      </c>
      <c r="N253" s="4">
        <v>428.12</v>
      </c>
      <c r="O253" t="s">
        <v>39</v>
      </c>
      <c r="P253">
        <v>2</v>
      </c>
    </row>
    <row r="254" spans="1:16" x14ac:dyDescent="0.35">
      <c r="A254" t="s">
        <v>883</v>
      </c>
      <c r="B254" s="10" t="s">
        <v>262</v>
      </c>
      <c r="C254" s="11" t="str">
        <f t="shared" si="3"/>
        <v>February</v>
      </c>
      <c r="D254" t="s">
        <v>398</v>
      </c>
      <c r="E254" t="s">
        <v>884</v>
      </c>
      <c r="F254" t="s">
        <v>44</v>
      </c>
      <c r="G254" t="s">
        <v>20</v>
      </c>
      <c r="H254" t="s">
        <v>76</v>
      </c>
      <c r="I254" t="s">
        <v>128</v>
      </c>
      <c r="J254">
        <v>6</v>
      </c>
      <c r="K254" s="4">
        <v>99.27</v>
      </c>
      <c r="L254" s="2">
        <v>595.62</v>
      </c>
      <c r="M254">
        <v>0</v>
      </c>
      <c r="N254" s="4">
        <v>134.57</v>
      </c>
      <c r="O254" t="s">
        <v>23</v>
      </c>
      <c r="P254">
        <v>3</v>
      </c>
    </row>
    <row r="255" spans="1:16" x14ac:dyDescent="0.35">
      <c r="A255" t="s">
        <v>885</v>
      </c>
      <c r="B255" s="10" t="s">
        <v>725</v>
      </c>
      <c r="C255" s="11" t="str">
        <f t="shared" si="3"/>
        <v>August</v>
      </c>
      <c r="D255" t="s">
        <v>55</v>
      </c>
      <c r="E255" t="s">
        <v>886</v>
      </c>
      <c r="F255" t="s">
        <v>36</v>
      </c>
      <c r="G255" t="s">
        <v>28</v>
      </c>
      <c r="H255" t="s">
        <v>21</v>
      </c>
      <c r="I255" t="s">
        <v>105</v>
      </c>
      <c r="J255">
        <v>9</v>
      </c>
      <c r="K255" s="4">
        <v>225.85</v>
      </c>
      <c r="L255" s="2">
        <v>2032.65</v>
      </c>
      <c r="M255">
        <v>0.05</v>
      </c>
      <c r="N255" s="4">
        <v>806.4</v>
      </c>
      <c r="O255" t="s">
        <v>23</v>
      </c>
      <c r="P255">
        <v>3</v>
      </c>
    </row>
    <row r="256" spans="1:16" x14ac:dyDescent="0.35">
      <c r="A256" t="s">
        <v>887</v>
      </c>
      <c r="B256" s="10" t="s">
        <v>265</v>
      </c>
      <c r="C256" s="11" t="str">
        <f t="shared" si="3"/>
        <v>April</v>
      </c>
      <c r="D256" t="s">
        <v>530</v>
      </c>
      <c r="E256" t="s">
        <v>888</v>
      </c>
      <c r="F256" t="s">
        <v>19</v>
      </c>
      <c r="G256" t="s">
        <v>28</v>
      </c>
      <c r="H256" t="s">
        <v>29</v>
      </c>
      <c r="I256" t="s">
        <v>62</v>
      </c>
      <c r="J256">
        <v>7</v>
      </c>
      <c r="K256" s="4">
        <v>486.79</v>
      </c>
      <c r="L256" s="2">
        <v>3407.53</v>
      </c>
      <c r="M256">
        <v>0.3</v>
      </c>
      <c r="N256" s="4">
        <v>725.97</v>
      </c>
      <c r="O256" t="s">
        <v>39</v>
      </c>
      <c r="P256">
        <v>1</v>
      </c>
    </row>
    <row r="257" spans="1:16" x14ac:dyDescent="0.35">
      <c r="A257" t="s">
        <v>889</v>
      </c>
      <c r="B257" s="10" t="s">
        <v>447</v>
      </c>
      <c r="C257" s="11" t="str">
        <f t="shared" si="3"/>
        <v>February</v>
      </c>
      <c r="D257" t="s">
        <v>890</v>
      </c>
      <c r="E257" t="s">
        <v>891</v>
      </c>
      <c r="F257" t="s">
        <v>36</v>
      </c>
      <c r="G257" t="s">
        <v>37</v>
      </c>
      <c r="H257" t="s">
        <v>21</v>
      </c>
      <c r="I257" t="s">
        <v>105</v>
      </c>
      <c r="J257">
        <v>4</v>
      </c>
      <c r="K257" s="4">
        <v>348.45</v>
      </c>
      <c r="L257" s="2">
        <v>1393.8</v>
      </c>
      <c r="M257">
        <v>0.3</v>
      </c>
      <c r="N257" s="4">
        <v>220.99</v>
      </c>
      <c r="O257" t="s">
        <v>39</v>
      </c>
      <c r="P257">
        <v>6</v>
      </c>
    </row>
    <row r="258" spans="1:16" x14ac:dyDescent="0.35">
      <c r="A258" t="s">
        <v>892</v>
      </c>
      <c r="B258" s="10" t="s">
        <v>893</v>
      </c>
      <c r="C258" s="11" t="str">
        <f t="shared" si="3"/>
        <v>November</v>
      </c>
      <c r="D258" t="s">
        <v>60</v>
      </c>
      <c r="E258" t="s">
        <v>894</v>
      </c>
      <c r="F258" t="s">
        <v>19</v>
      </c>
      <c r="G258" t="s">
        <v>28</v>
      </c>
      <c r="H258" t="s">
        <v>29</v>
      </c>
      <c r="I258" t="s">
        <v>45</v>
      </c>
      <c r="J258">
        <v>2</v>
      </c>
      <c r="K258" s="4">
        <v>329.58</v>
      </c>
      <c r="L258" s="2">
        <v>659.16</v>
      </c>
      <c r="M258">
        <v>0.15</v>
      </c>
      <c r="N258" s="4">
        <v>189.89</v>
      </c>
      <c r="O258" t="s">
        <v>23</v>
      </c>
      <c r="P258">
        <v>7</v>
      </c>
    </row>
    <row r="259" spans="1:16" x14ac:dyDescent="0.35">
      <c r="A259" t="s">
        <v>895</v>
      </c>
      <c r="B259" s="10" t="s">
        <v>416</v>
      </c>
      <c r="C259" s="11" t="str">
        <f t="shared" ref="C259:C322" si="4">TEXT(B259,"MMMM")</f>
        <v>December</v>
      </c>
      <c r="D259" t="s">
        <v>765</v>
      </c>
      <c r="E259" t="s">
        <v>896</v>
      </c>
      <c r="F259" t="s">
        <v>44</v>
      </c>
      <c r="G259" t="s">
        <v>20</v>
      </c>
      <c r="H259" t="s">
        <v>21</v>
      </c>
      <c r="I259" t="s">
        <v>22</v>
      </c>
      <c r="J259">
        <v>6</v>
      </c>
      <c r="K259" s="4">
        <v>435.34</v>
      </c>
      <c r="L259" s="2">
        <v>2612.04</v>
      </c>
      <c r="M259">
        <v>0.15</v>
      </c>
      <c r="N259" s="4">
        <v>672.85</v>
      </c>
      <c r="O259" t="s">
        <v>23</v>
      </c>
      <c r="P259">
        <v>3</v>
      </c>
    </row>
    <row r="260" spans="1:16" x14ac:dyDescent="0.35">
      <c r="A260" t="s">
        <v>897</v>
      </c>
      <c r="B260" s="10" t="s">
        <v>412</v>
      </c>
      <c r="C260" s="11" t="str">
        <f t="shared" si="4"/>
        <v>March</v>
      </c>
      <c r="D260" t="s">
        <v>898</v>
      </c>
      <c r="E260" t="s">
        <v>899</v>
      </c>
      <c r="F260" t="s">
        <v>44</v>
      </c>
      <c r="G260" t="s">
        <v>28</v>
      </c>
      <c r="H260" t="s">
        <v>76</v>
      </c>
      <c r="I260" t="s">
        <v>77</v>
      </c>
      <c r="J260">
        <v>4</v>
      </c>
      <c r="K260" s="4">
        <v>380.35</v>
      </c>
      <c r="L260" s="2">
        <v>1521.4</v>
      </c>
      <c r="M260">
        <v>0.05</v>
      </c>
      <c r="N260" s="4">
        <v>579.11</v>
      </c>
      <c r="O260" t="s">
        <v>23</v>
      </c>
      <c r="P260">
        <v>3</v>
      </c>
    </row>
    <row r="261" spans="1:16" x14ac:dyDescent="0.35">
      <c r="A261" t="s">
        <v>900</v>
      </c>
      <c r="B261" s="10" t="s">
        <v>285</v>
      </c>
      <c r="C261" s="11" t="str">
        <f t="shared" si="4"/>
        <v>November</v>
      </c>
      <c r="D261" t="s">
        <v>500</v>
      </c>
      <c r="E261" t="s">
        <v>901</v>
      </c>
      <c r="F261" t="s">
        <v>19</v>
      </c>
      <c r="G261" t="s">
        <v>37</v>
      </c>
      <c r="H261" t="s">
        <v>21</v>
      </c>
      <c r="I261" t="s">
        <v>82</v>
      </c>
      <c r="J261">
        <v>7</v>
      </c>
      <c r="K261" s="4">
        <v>239.19</v>
      </c>
      <c r="L261" s="2">
        <v>1674.33</v>
      </c>
      <c r="M261">
        <v>0.3</v>
      </c>
      <c r="N261" s="4">
        <v>392.69</v>
      </c>
      <c r="O261" t="s">
        <v>39</v>
      </c>
      <c r="P261">
        <v>5</v>
      </c>
    </row>
    <row r="262" spans="1:16" x14ac:dyDescent="0.35">
      <c r="A262" t="s">
        <v>902</v>
      </c>
      <c r="B262" s="10" t="s">
        <v>443</v>
      </c>
      <c r="C262" s="11" t="str">
        <f t="shared" si="4"/>
        <v>July</v>
      </c>
      <c r="D262" t="s">
        <v>807</v>
      </c>
      <c r="E262" t="s">
        <v>903</v>
      </c>
      <c r="F262" t="s">
        <v>44</v>
      </c>
      <c r="G262" t="s">
        <v>37</v>
      </c>
      <c r="H262" t="s">
        <v>29</v>
      </c>
      <c r="I262" t="s">
        <v>224</v>
      </c>
      <c r="J262">
        <v>6</v>
      </c>
      <c r="K262" s="4">
        <v>1013.54</v>
      </c>
      <c r="L262" s="2">
        <v>6081.24</v>
      </c>
      <c r="M262">
        <v>0.2</v>
      </c>
      <c r="N262" s="4">
        <v>2571.42</v>
      </c>
      <c r="O262" t="s">
        <v>31</v>
      </c>
      <c r="P262">
        <v>7</v>
      </c>
    </row>
    <row r="263" spans="1:16" x14ac:dyDescent="0.35">
      <c r="A263" t="s">
        <v>904</v>
      </c>
      <c r="B263" s="10" t="s">
        <v>454</v>
      </c>
      <c r="C263" s="11" t="str">
        <f t="shared" si="4"/>
        <v>August</v>
      </c>
      <c r="D263" t="s">
        <v>905</v>
      </c>
      <c r="E263" t="s">
        <v>906</v>
      </c>
      <c r="F263" t="s">
        <v>36</v>
      </c>
      <c r="G263" t="s">
        <v>20</v>
      </c>
      <c r="H263" t="s">
        <v>21</v>
      </c>
      <c r="I263" t="s">
        <v>71</v>
      </c>
      <c r="J263">
        <v>8</v>
      </c>
      <c r="K263" s="4">
        <v>502.78</v>
      </c>
      <c r="L263" s="2">
        <v>4022.24</v>
      </c>
      <c r="M263">
        <v>0.15</v>
      </c>
      <c r="N263" s="4">
        <v>1312</v>
      </c>
      <c r="O263" t="s">
        <v>23</v>
      </c>
      <c r="P263">
        <v>1</v>
      </c>
    </row>
    <row r="264" spans="1:16" x14ac:dyDescent="0.35">
      <c r="A264" t="s">
        <v>907</v>
      </c>
      <c r="B264" s="10" t="s">
        <v>722</v>
      </c>
      <c r="C264" s="11" t="str">
        <f t="shared" si="4"/>
        <v>August</v>
      </c>
      <c r="D264" t="s">
        <v>307</v>
      </c>
      <c r="E264" t="s">
        <v>908</v>
      </c>
      <c r="F264" t="s">
        <v>19</v>
      </c>
      <c r="G264" t="s">
        <v>28</v>
      </c>
      <c r="H264" t="s">
        <v>29</v>
      </c>
      <c r="I264" t="s">
        <v>110</v>
      </c>
      <c r="J264">
        <v>1</v>
      </c>
      <c r="K264" s="4">
        <v>344.33</v>
      </c>
      <c r="L264" s="2">
        <v>344.33</v>
      </c>
      <c r="M264">
        <v>0.2</v>
      </c>
      <c r="N264" s="4">
        <v>119.7</v>
      </c>
      <c r="O264" t="s">
        <v>23</v>
      </c>
      <c r="P264">
        <v>9</v>
      </c>
    </row>
    <row r="265" spans="1:16" x14ac:dyDescent="0.35">
      <c r="A265" t="s">
        <v>909</v>
      </c>
      <c r="B265" s="10" t="s">
        <v>672</v>
      </c>
      <c r="C265" s="11" t="str">
        <f t="shared" si="4"/>
        <v>July</v>
      </c>
      <c r="D265" t="s">
        <v>113</v>
      </c>
      <c r="E265" t="s">
        <v>910</v>
      </c>
      <c r="F265" t="s">
        <v>36</v>
      </c>
      <c r="G265" t="s">
        <v>28</v>
      </c>
      <c r="H265" t="s">
        <v>29</v>
      </c>
      <c r="I265" t="s">
        <v>100</v>
      </c>
      <c r="J265">
        <v>2</v>
      </c>
      <c r="K265" s="4">
        <v>336.11</v>
      </c>
      <c r="L265" s="2">
        <v>672.22</v>
      </c>
      <c r="M265">
        <v>0.2</v>
      </c>
      <c r="N265" s="4">
        <v>118.68</v>
      </c>
      <c r="O265" t="s">
        <v>23</v>
      </c>
      <c r="P265">
        <v>4</v>
      </c>
    </row>
    <row r="266" spans="1:16" x14ac:dyDescent="0.35">
      <c r="A266" t="s">
        <v>911</v>
      </c>
      <c r="B266" s="10" t="s">
        <v>513</v>
      </c>
      <c r="C266" s="11" t="str">
        <f t="shared" si="4"/>
        <v>June</v>
      </c>
      <c r="D266" t="s">
        <v>912</v>
      </c>
      <c r="E266" t="s">
        <v>913</v>
      </c>
      <c r="F266" t="s">
        <v>44</v>
      </c>
      <c r="G266" t="s">
        <v>20</v>
      </c>
      <c r="H266" t="s">
        <v>76</v>
      </c>
      <c r="I266" t="s">
        <v>77</v>
      </c>
      <c r="J266">
        <v>4</v>
      </c>
      <c r="K266" s="4">
        <v>371.3</v>
      </c>
      <c r="L266" s="2">
        <v>1485.2</v>
      </c>
      <c r="M266">
        <v>0</v>
      </c>
      <c r="N266" s="4">
        <v>549.67999999999995</v>
      </c>
      <c r="O266" t="s">
        <v>31</v>
      </c>
      <c r="P266">
        <v>4</v>
      </c>
    </row>
    <row r="267" spans="1:16" x14ac:dyDescent="0.35">
      <c r="A267" t="s">
        <v>914</v>
      </c>
      <c r="B267" s="10" t="s">
        <v>97</v>
      </c>
      <c r="C267" s="11" t="str">
        <f t="shared" si="4"/>
        <v>March</v>
      </c>
      <c r="D267" t="s">
        <v>479</v>
      </c>
      <c r="E267" t="s">
        <v>915</v>
      </c>
      <c r="F267" t="s">
        <v>36</v>
      </c>
      <c r="G267" t="s">
        <v>37</v>
      </c>
      <c r="H267" t="s">
        <v>21</v>
      </c>
      <c r="I267" t="s">
        <v>71</v>
      </c>
      <c r="J267">
        <v>6</v>
      </c>
      <c r="K267" s="4">
        <v>1036.04</v>
      </c>
      <c r="L267" s="2">
        <v>6216.24</v>
      </c>
      <c r="M267">
        <v>0.2</v>
      </c>
      <c r="N267" s="4">
        <v>1476.44</v>
      </c>
      <c r="O267" t="s">
        <v>31</v>
      </c>
      <c r="P267">
        <v>1</v>
      </c>
    </row>
    <row r="268" spans="1:16" x14ac:dyDescent="0.35">
      <c r="A268" t="s">
        <v>916</v>
      </c>
      <c r="B268" s="10" t="s">
        <v>47</v>
      </c>
      <c r="C268" s="11" t="str">
        <f t="shared" si="4"/>
        <v>December</v>
      </c>
      <c r="D268" t="s">
        <v>299</v>
      </c>
      <c r="E268" t="s">
        <v>917</v>
      </c>
      <c r="F268" t="s">
        <v>44</v>
      </c>
      <c r="G268" t="s">
        <v>57</v>
      </c>
      <c r="H268" t="s">
        <v>21</v>
      </c>
      <c r="I268" t="s">
        <v>38</v>
      </c>
      <c r="J268">
        <v>9</v>
      </c>
      <c r="K268" s="4">
        <v>351.68</v>
      </c>
      <c r="L268" s="2">
        <v>3165.12</v>
      </c>
      <c r="M268">
        <v>0.2</v>
      </c>
      <c r="N268" s="4">
        <v>1222.1099999999999</v>
      </c>
      <c r="O268" t="s">
        <v>23</v>
      </c>
      <c r="P268">
        <v>2</v>
      </c>
    </row>
    <row r="269" spans="1:16" x14ac:dyDescent="0.35">
      <c r="A269" t="s">
        <v>918</v>
      </c>
      <c r="B269" s="10" t="s">
        <v>919</v>
      </c>
      <c r="C269" s="11" t="str">
        <f t="shared" si="4"/>
        <v>March</v>
      </c>
      <c r="D269" t="s">
        <v>654</v>
      </c>
      <c r="E269" t="s">
        <v>920</v>
      </c>
      <c r="F269" t="s">
        <v>36</v>
      </c>
      <c r="G269" t="s">
        <v>57</v>
      </c>
      <c r="H269" t="s">
        <v>29</v>
      </c>
      <c r="I269" t="s">
        <v>45</v>
      </c>
      <c r="J269">
        <v>1</v>
      </c>
      <c r="K269" s="4">
        <v>1191.1300000000001</v>
      </c>
      <c r="L269" s="2">
        <v>1191.1300000000001</v>
      </c>
      <c r="M269">
        <v>0.3</v>
      </c>
      <c r="N269" s="4">
        <v>416.27</v>
      </c>
      <c r="O269" t="s">
        <v>31</v>
      </c>
      <c r="P269">
        <v>7</v>
      </c>
    </row>
    <row r="270" spans="1:16" x14ac:dyDescent="0.35">
      <c r="A270" t="s">
        <v>921</v>
      </c>
      <c r="B270" s="10" t="s">
        <v>922</v>
      </c>
      <c r="C270" s="11" t="str">
        <f t="shared" si="4"/>
        <v>August</v>
      </c>
      <c r="D270" t="s">
        <v>266</v>
      </c>
      <c r="E270" t="s">
        <v>923</v>
      </c>
      <c r="F270" t="s">
        <v>19</v>
      </c>
      <c r="G270" t="s">
        <v>20</v>
      </c>
      <c r="H270" t="s">
        <v>76</v>
      </c>
      <c r="I270" t="s">
        <v>119</v>
      </c>
      <c r="J270">
        <v>10</v>
      </c>
      <c r="K270" s="4">
        <v>766.23</v>
      </c>
      <c r="L270" s="2">
        <v>7662.3</v>
      </c>
      <c r="M270">
        <v>0.3</v>
      </c>
      <c r="N270" s="4">
        <v>2061.29</v>
      </c>
      <c r="O270" t="s">
        <v>39</v>
      </c>
      <c r="P270">
        <v>9</v>
      </c>
    </row>
    <row r="271" spans="1:16" x14ac:dyDescent="0.35">
      <c r="A271" t="s">
        <v>924</v>
      </c>
      <c r="B271" s="10" t="s">
        <v>925</v>
      </c>
      <c r="C271" s="11" t="str">
        <f t="shared" si="4"/>
        <v>January</v>
      </c>
      <c r="D271" t="s">
        <v>926</v>
      </c>
      <c r="E271" t="s">
        <v>927</v>
      </c>
      <c r="F271" t="s">
        <v>19</v>
      </c>
      <c r="G271" t="s">
        <v>20</v>
      </c>
      <c r="H271" t="s">
        <v>21</v>
      </c>
      <c r="I271" t="s">
        <v>38</v>
      </c>
      <c r="J271">
        <v>6</v>
      </c>
      <c r="K271" s="4">
        <v>556.54</v>
      </c>
      <c r="L271" s="2">
        <v>3339.24</v>
      </c>
      <c r="M271">
        <v>0.15</v>
      </c>
      <c r="N271" s="4">
        <v>1189.51</v>
      </c>
      <c r="O271" t="s">
        <v>23</v>
      </c>
      <c r="P271">
        <v>8</v>
      </c>
    </row>
    <row r="272" spans="1:16" x14ac:dyDescent="0.35">
      <c r="A272" t="s">
        <v>928</v>
      </c>
      <c r="B272" s="10" t="s">
        <v>582</v>
      </c>
      <c r="C272" s="11" t="str">
        <f t="shared" si="4"/>
        <v>August</v>
      </c>
      <c r="D272" t="s">
        <v>546</v>
      </c>
      <c r="E272" t="s">
        <v>929</v>
      </c>
      <c r="F272" t="s">
        <v>44</v>
      </c>
      <c r="G272" t="s">
        <v>57</v>
      </c>
      <c r="H272" t="s">
        <v>21</v>
      </c>
      <c r="I272" t="s">
        <v>38</v>
      </c>
      <c r="J272">
        <v>2</v>
      </c>
      <c r="K272" s="4">
        <v>958.9</v>
      </c>
      <c r="L272" s="2">
        <v>1917.8</v>
      </c>
      <c r="M272">
        <v>0.15</v>
      </c>
      <c r="N272" s="4">
        <v>754.54</v>
      </c>
      <c r="O272" t="s">
        <v>39</v>
      </c>
      <c r="P272">
        <v>5</v>
      </c>
    </row>
    <row r="273" spans="1:16" x14ac:dyDescent="0.35">
      <c r="A273" t="s">
        <v>930</v>
      </c>
      <c r="B273" s="10" t="s">
        <v>931</v>
      </c>
      <c r="C273" s="11" t="str">
        <f t="shared" si="4"/>
        <v>December</v>
      </c>
      <c r="D273" t="s">
        <v>314</v>
      </c>
      <c r="E273" t="s">
        <v>932</v>
      </c>
      <c r="F273" t="s">
        <v>36</v>
      </c>
      <c r="G273" t="s">
        <v>20</v>
      </c>
      <c r="H273" t="s">
        <v>76</v>
      </c>
      <c r="I273" t="s">
        <v>177</v>
      </c>
      <c r="J273">
        <v>10</v>
      </c>
      <c r="K273" s="4">
        <v>174.1</v>
      </c>
      <c r="L273" s="2">
        <v>1741</v>
      </c>
      <c r="M273">
        <v>0.15</v>
      </c>
      <c r="N273" s="4">
        <v>347.29</v>
      </c>
      <c r="O273" t="s">
        <v>31</v>
      </c>
      <c r="P273">
        <v>8</v>
      </c>
    </row>
    <row r="274" spans="1:16" x14ac:dyDescent="0.35">
      <c r="A274" t="s">
        <v>933</v>
      </c>
      <c r="B274" s="10" t="s">
        <v>582</v>
      </c>
      <c r="C274" s="11" t="str">
        <f t="shared" si="4"/>
        <v>August</v>
      </c>
      <c r="D274" t="s">
        <v>859</v>
      </c>
      <c r="E274" t="s">
        <v>934</v>
      </c>
      <c r="F274" t="s">
        <v>19</v>
      </c>
      <c r="G274" t="s">
        <v>37</v>
      </c>
      <c r="H274" t="s">
        <v>29</v>
      </c>
      <c r="I274" t="s">
        <v>30</v>
      </c>
      <c r="J274">
        <v>3</v>
      </c>
      <c r="K274" s="4">
        <v>540.72</v>
      </c>
      <c r="L274" s="2">
        <v>1622.16</v>
      </c>
      <c r="M274">
        <v>0</v>
      </c>
      <c r="N274" s="4">
        <v>248.62</v>
      </c>
      <c r="O274" t="s">
        <v>23</v>
      </c>
      <c r="P274">
        <v>5</v>
      </c>
    </row>
    <row r="275" spans="1:16" x14ac:dyDescent="0.35">
      <c r="A275" t="s">
        <v>935</v>
      </c>
      <c r="B275" s="10" t="s">
        <v>936</v>
      </c>
      <c r="C275" s="11" t="str">
        <f t="shared" si="4"/>
        <v>December</v>
      </c>
      <c r="D275" t="s">
        <v>937</v>
      </c>
      <c r="E275" t="s">
        <v>938</v>
      </c>
      <c r="F275" t="s">
        <v>36</v>
      </c>
      <c r="G275" t="s">
        <v>20</v>
      </c>
      <c r="H275" t="s">
        <v>29</v>
      </c>
      <c r="I275" t="s">
        <v>110</v>
      </c>
      <c r="J275">
        <v>2</v>
      </c>
      <c r="K275" s="4">
        <v>792.41</v>
      </c>
      <c r="L275" s="2">
        <v>1584.82</v>
      </c>
      <c r="M275">
        <v>0.1</v>
      </c>
      <c r="N275" s="4">
        <v>737.46</v>
      </c>
      <c r="O275" t="s">
        <v>39</v>
      </c>
      <c r="P275">
        <v>5</v>
      </c>
    </row>
    <row r="276" spans="1:16" x14ac:dyDescent="0.35">
      <c r="A276" t="s">
        <v>939</v>
      </c>
      <c r="B276" s="10" t="s">
        <v>112</v>
      </c>
      <c r="C276" s="11" t="str">
        <f t="shared" si="4"/>
        <v>April</v>
      </c>
      <c r="D276" t="s">
        <v>940</v>
      </c>
      <c r="E276" t="s">
        <v>941</v>
      </c>
      <c r="F276" t="s">
        <v>36</v>
      </c>
      <c r="G276" t="s">
        <v>37</v>
      </c>
      <c r="H276" t="s">
        <v>21</v>
      </c>
      <c r="I276" t="s">
        <v>105</v>
      </c>
      <c r="J276">
        <v>7</v>
      </c>
      <c r="K276" s="4">
        <v>793.47</v>
      </c>
      <c r="L276" s="2">
        <v>5554.29</v>
      </c>
      <c r="M276">
        <v>0.3</v>
      </c>
      <c r="N276" s="4">
        <v>1990.37</v>
      </c>
      <c r="O276" t="s">
        <v>23</v>
      </c>
      <c r="P276">
        <v>4</v>
      </c>
    </row>
    <row r="277" spans="1:16" x14ac:dyDescent="0.35">
      <c r="A277" t="s">
        <v>942</v>
      </c>
      <c r="B277" s="10" t="s">
        <v>749</v>
      </c>
      <c r="C277" s="11" t="str">
        <f t="shared" si="4"/>
        <v>August</v>
      </c>
      <c r="D277" t="s">
        <v>863</v>
      </c>
      <c r="E277" t="s">
        <v>943</v>
      </c>
      <c r="F277" t="s">
        <v>36</v>
      </c>
      <c r="G277" t="s">
        <v>28</v>
      </c>
      <c r="H277" t="s">
        <v>21</v>
      </c>
      <c r="I277" t="s">
        <v>82</v>
      </c>
      <c r="J277">
        <v>1</v>
      </c>
      <c r="K277" s="4">
        <v>29.51</v>
      </c>
      <c r="L277" s="2">
        <v>29.51</v>
      </c>
      <c r="M277">
        <v>0.1</v>
      </c>
      <c r="N277" s="4">
        <v>5.93</v>
      </c>
      <c r="O277" t="s">
        <v>31</v>
      </c>
      <c r="P277">
        <v>4</v>
      </c>
    </row>
    <row r="278" spans="1:16" x14ac:dyDescent="0.35">
      <c r="A278" t="s">
        <v>944</v>
      </c>
      <c r="B278" s="10" t="s">
        <v>945</v>
      </c>
      <c r="C278" s="11" t="str">
        <f t="shared" si="4"/>
        <v>March</v>
      </c>
      <c r="D278" t="s">
        <v>130</v>
      </c>
      <c r="E278" t="s">
        <v>946</v>
      </c>
      <c r="F278" t="s">
        <v>36</v>
      </c>
      <c r="G278" t="s">
        <v>37</v>
      </c>
      <c r="H278" t="s">
        <v>76</v>
      </c>
      <c r="I278" t="s">
        <v>77</v>
      </c>
      <c r="J278">
        <v>2</v>
      </c>
      <c r="K278" s="4">
        <v>141.78</v>
      </c>
      <c r="L278" s="2">
        <v>283.56</v>
      </c>
      <c r="M278">
        <v>0.1</v>
      </c>
      <c r="N278" s="4">
        <v>50.43</v>
      </c>
      <c r="O278" t="s">
        <v>31</v>
      </c>
      <c r="P278">
        <v>9</v>
      </c>
    </row>
    <row r="279" spans="1:16" x14ac:dyDescent="0.35">
      <c r="A279" t="s">
        <v>947</v>
      </c>
      <c r="B279" s="10" t="s">
        <v>112</v>
      </c>
      <c r="C279" s="11" t="str">
        <f t="shared" si="4"/>
        <v>April</v>
      </c>
      <c r="D279" t="s">
        <v>378</v>
      </c>
      <c r="E279" t="s">
        <v>948</v>
      </c>
      <c r="F279" t="s">
        <v>19</v>
      </c>
      <c r="G279" t="s">
        <v>37</v>
      </c>
      <c r="H279" t="s">
        <v>21</v>
      </c>
      <c r="I279" t="s">
        <v>22</v>
      </c>
      <c r="J279">
        <v>10</v>
      </c>
      <c r="K279" s="4">
        <v>787.02</v>
      </c>
      <c r="L279" s="2">
        <v>7870.2</v>
      </c>
      <c r="M279">
        <v>0.15</v>
      </c>
      <c r="N279" s="4">
        <v>2739.59</v>
      </c>
      <c r="O279" t="s">
        <v>39</v>
      </c>
      <c r="P279">
        <v>10</v>
      </c>
    </row>
    <row r="280" spans="1:16" x14ac:dyDescent="0.35">
      <c r="A280" t="s">
        <v>949</v>
      </c>
      <c r="B280" s="10" t="s">
        <v>950</v>
      </c>
      <c r="C280" s="11" t="str">
        <f t="shared" si="4"/>
        <v>March</v>
      </c>
      <c r="D280" t="s">
        <v>330</v>
      </c>
      <c r="E280" t="s">
        <v>951</v>
      </c>
      <c r="F280" t="s">
        <v>19</v>
      </c>
      <c r="G280" t="s">
        <v>28</v>
      </c>
      <c r="H280" t="s">
        <v>21</v>
      </c>
      <c r="I280" t="s">
        <v>82</v>
      </c>
      <c r="J280">
        <v>4</v>
      </c>
      <c r="K280" s="4">
        <v>122.29</v>
      </c>
      <c r="L280" s="2">
        <v>489.16</v>
      </c>
      <c r="M280">
        <v>0</v>
      </c>
      <c r="N280" s="4">
        <v>241.64</v>
      </c>
      <c r="O280" t="s">
        <v>39</v>
      </c>
      <c r="P280">
        <v>7</v>
      </c>
    </row>
    <row r="281" spans="1:16" x14ac:dyDescent="0.35">
      <c r="A281" t="s">
        <v>952</v>
      </c>
      <c r="B281" s="10" t="s">
        <v>953</v>
      </c>
      <c r="C281" s="11" t="str">
        <f t="shared" si="4"/>
        <v>November</v>
      </c>
      <c r="D281" t="s">
        <v>497</v>
      </c>
      <c r="E281" t="s">
        <v>954</v>
      </c>
      <c r="F281" t="s">
        <v>19</v>
      </c>
      <c r="G281" t="s">
        <v>57</v>
      </c>
      <c r="H281" t="s">
        <v>76</v>
      </c>
      <c r="I281" t="s">
        <v>119</v>
      </c>
      <c r="J281">
        <v>4</v>
      </c>
      <c r="K281" s="4">
        <v>346.82</v>
      </c>
      <c r="L281" s="2">
        <v>1387.28</v>
      </c>
      <c r="M281">
        <v>0</v>
      </c>
      <c r="N281" s="4">
        <v>625.29</v>
      </c>
      <c r="O281" t="s">
        <v>23</v>
      </c>
      <c r="P281">
        <v>1</v>
      </c>
    </row>
    <row r="282" spans="1:16" x14ac:dyDescent="0.35">
      <c r="A282" t="s">
        <v>955</v>
      </c>
      <c r="B282" s="10" t="s">
        <v>956</v>
      </c>
      <c r="C282" s="11" t="str">
        <f t="shared" si="4"/>
        <v>July</v>
      </c>
      <c r="D282" t="s">
        <v>957</v>
      </c>
      <c r="E282" t="s">
        <v>958</v>
      </c>
      <c r="F282" t="s">
        <v>19</v>
      </c>
      <c r="G282" t="s">
        <v>20</v>
      </c>
      <c r="H282" t="s">
        <v>21</v>
      </c>
      <c r="I282" t="s">
        <v>38</v>
      </c>
      <c r="J282">
        <v>4</v>
      </c>
      <c r="K282" s="4">
        <v>630.94000000000005</v>
      </c>
      <c r="L282" s="2">
        <v>2523.7600000000002</v>
      </c>
      <c r="M282">
        <v>0.2</v>
      </c>
      <c r="N282" s="4">
        <v>958.1</v>
      </c>
      <c r="O282" t="s">
        <v>31</v>
      </c>
      <c r="P282">
        <v>8</v>
      </c>
    </row>
    <row r="283" spans="1:16" x14ac:dyDescent="0.35">
      <c r="A283" t="s">
        <v>959</v>
      </c>
      <c r="B283" s="10" t="s">
        <v>960</v>
      </c>
      <c r="C283" s="11" t="str">
        <f t="shared" si="4"/>
        <v>January</v>
      </c>
      <c r="D283" t="s">
        <v>870</v>
      </c>
      <c r="E283" t="s">
        <v>961</v>
      </c>
      <c r="F283" t="s">
        <v>44</v>
      </c>
      <c r="G283" t="s">
        <v>37</v>
      </c>
      <c r="H283" t="s">
        <v>76</v>
      </c>
      <c r="I283" t="s">
        <v>77</v>
      </c>
      <c r="J283">
        <v>4</v>
      </c>
      <c r="K283" s="4">
        <v>609.51</v>
      </c>
      <c r="L283" s="2">
        <v>2438.04</v>
      </c>
      <c r="M283">
        <v>0.2</v>
      </c>
      <c r="N283" s="4">
        <v>1017.34</v>
      </c>
      <c r="O283" t="s">
        <v>39</v>
      </c>
      <c r="P283">
        <v>10</v>
      </c>
    </row>
    <row r="284" spans="1:16" x14ac:dyDescent="0.35">
      <c r="A284" t="s">
        <v>962</v>
      </c>
      <c r="B284" s="10" t="s">
        <v>963</v>
      </c>
      <c r="C284" s="11" t="str">
        <f t="shared" si="4"/>
        <v>February</v>
      </c>
      <c r="D284" t="s">
        <v>964</v>
      </c>
      <c r="E284" t="s">
        <v>965</v>
      </c>
      <c r="F284" t="s">
        <v>19</v>
      </c>
      <c r="G284" t="s">
        <v>20</v>
      </c>
      <c r="H284" t="s">
        <v>76</v>
      </c>
      <c r="I284" t="s">
        <v>87</v>
      </c>
      <c r="J284">
        <v>9</v>
      </c>
      <c r="K284" s="4">
        <v>825.87</v>
      </c>
      <c r="L284" s="2">
        <v>7432.83</v>
      </c>
      <c r="M284">
        <v>0.15</v>
      </c>
      <c r="N284" s="4">
        <v>1062.79</v>
      </c>
      <c r="O284" t="s">
        <v>31</v>
      </c>
      <c r="P284">
        <v>5</v>
      </c>
    </row>
    <row r="285" spans="1:16" x14ac:dyDescent="0.35">
      <c r="A285" t="s">
        <v>966</v>
      </c>
      <c r="B285" s="10" t="s">
        <v>520</v>
      </c>
      <c r="C285" s="11" t="str">
        <f t="shared" si="4"/>
        <v>November</v>
      </c>
      <c r="D285" t="s">
        <v>286</v>
      </c>
      <c r="E285" t="s">
        <v>967</v>
      </c>
      <c r="F285" t="s">
        <v>19</v>
      </c>
      <c r="G285" t="s">
        <v>28</v>
      </c>
      <c r="H285" t="s">
        <v>29</v>
      </c>
      <c r="I285" t="s">
        <v>30</v>
      </c>
      <c r="J285">
        <v>1</v>
      </c>
      <c r="K285" s="4">
        <v>1139.44</v>
      </c>
      <c r="L285" s="2">
        <v>1139.44</v>
      </c>
      <c r="M285">
        <v>0.15</v>
      </c>
      <c r="N285" s="4">
        <v>336.42</v>
      </c>
      <c r="O285" t="s">
        <v>39</v>
      </c>
      <c r="P285">
        <v>7</v>
      </c>
    </row>
    <row r="286" spans="1:16" x14ac:dyDescent="0.35">
      <c r="A286" t="s">
        <v>968</v>
      </c>
      <c r="B286" s="10" t="s">
        <v>405</v>
      </c>
      <c r="C286" s="11" t="str">
        <f t="shared" si="4"/>
        <v>June</v>
      </c>
      <c r="D286" t="s">
        <v>138</v>
      </c>
      <c r="E286" t="s">
        <v>969</v>
      </c>
      <c r="F286" t="s">
        <v>19</v>
      </c>
      <c r="G286" t="s">
        <v>37</v>
      </c>
      <c r="H286" t="s">
        <v>29</v>
      </c>
      <c r="I286" t="s">
        <v>62</v>
      </c>
      <c r="J286">
        <v>9</v>
      </c>
      <c r="K286" s="4">
        <v>654.42999999999995</v>
      </c>
      <c r="L286" s="2">
        <v>5889.87</v>
      </c>
      <c r="M286">
        <v>0.05</v>
      </c>
      <c r="N286" s="4">
        <v>2456.44</v>
      </c>
      <c r="O286" t="s">
        <v>31</v>
      </c>
      <c r="P286">
        <v>9</v>
      </c>
    </row>
    <row r="287" spans="1:16" x14ac:dyDescent="0.35">
      <c r="A287" t="s">
        <v>970</v>
      </c>
      <c r="B287" s="10" t="s">
        <v>971</v>
      </c>
      <c r="C287" s="11" t="str">
        <f t="shared" si="4"/>
        <v>February</v>
      </c>
      <c r="D287" t="s">
        <v>972</v>
      </c>
      <c r="E287" t="s">
        <v>973</v>
      </c>
      <c r="F287" t="s">
        <v>19</v>
      </c>
      <c r="G287" t="s">
        <v>28</v>
      </c>
      <c r="H287" t="s">
        <v>76</v>
      </c>
      <c r="I287" t="s">
        <v>128</v>
      </c>
      <c r="J287">
        <v>10</v>
      </c>
      <c r="K287" s="4">
        <v>768.47</v>
      </c>
      <c r="L287" s="2">
        <v>7684.7</v>
      </c>
      <c r="M287">
        <v>0.3</v>
      </c>
      <c r="N287" s="4">
        <v>1493.17</v>
      </c>
      <c r="O287" t="s">
        <v>23</v>
      </c>
      <c r="P287">
        <v>4</v>
      </c>
    </row>
    <row r="288" spans="1:16" x14ac:dyDescent="0.35">
      <c r="A288" t="s">
        <v>974</v>
      </c>
      <c r="B288" s="10" t="s">
        <v>975</v>
      </c>
      <c r="C288" s="11" t="str">
        <f t="shared" si="4"/>
        <v>November</v>
      </c>
      <c r="D288" t="s">
        <v>976</v>
      </c>
      <c r="E288" t="s">
        <v>977</v>
      </c>
      <c r="F288" t="s">
        <v>44</v>
      </c>
      <c r="G288" t="s">
        <v>37</v>
      </c>
      <c r="H288" t="s">
        <v>29</v>
      </c>
      <c r="I288" t="s">
        <v>224</v>
      </c>
      <c r="J288">
        <v>2</v>
      </c>
      <c r="K288" s="4">
        <v>1111.06</v>
      </c>
      <c r="L288" s="2">
        <v>2222.12</v>
      </c>
      <c r="M288">
        <v>0</v>
      </c>
      <c r="N288" s="4">
        <v>819.19</v>
      </c>
      <c r="O288" t="s">
        <v>31</v>
      </c>
      <c r="P288">
        <v>1</v>
      </c>
    </row>
    <row r="289" spans="1:16" x14ac:dyDescent="0.35">
      <c r="A289" t="s">
        <v>978</v>
      </c>
      <c r="B289" s="10" t="s">
        <v>979</v>
      </c>
      <c r="C289" s="11" t="str">
        <f t="shared" si="4"/>
        <v>May</v>
      </c>
      <c r="D289" t="s">
        <v>980</v>
      </c>
      <c r="E289" t="s">
        <v>981</v>
      </c>
      <c r="F289" t="s">
        <v>44</v>
      </c>
      <c r="G289" t="s">
        <v>37</v>
      </c>
      <c r="H289" t="s">
        <v>21</v>
      </c>
      <c r="I289" t="s">
        <v>105</v>
      </c>
      <c r="J289">
        <v>1</v>
      </c>
      <c r="K289" s="4">
        <v>213.32</v>
      </c>
      <c r="L289" s="2">
        <v>213.32</v>
      </c>
      <c r="M289">
        <v>0.1</v>
      </c>
      <c r="N289" s="4">
        <v>65.430000000000007</v>
      </c>
      <c r="O289" t="s">
        <v>23</v>
      </c>
      <c r="P289">
        <v>5</v>
      </c>
    </row>
    <row r="290" spans="1:16" x14ac:dyDescent="0.35">
      <c r="A290" t="s">
        <v>982</v>
      </c>
      <c r="B290" s="10" t="s">
        <v>447</v>
      </c>
      <c r="C290" s="11" t="str">
        <f t="shared" si="4"/>
        <v>February</v>
      </c>
      <c r="D290" t="s">
        <v>98</v>
      </c>
      <c r="E290" t="s">
        <v>983</v>
      </c>
      <c r="F290" t="s">
        <v>19</v>
      </c>
      <c r="G290" t="s">
        <v>20</v>
      </c>
      <c r="H290" t="s">
        <v>21</v>
      </c>
      <c r="I290" t="s">
        <v>22</v>
      </c>
      <c r="J290">
        <v>1</v>
      </c>
      <c r="K290" s="4">
        <v>415.31</v>
      </c>
      <c r="L290" s="2">
        <v>415.31</v>
      </c>
      <c r="M290">
        <v>0.15</v>
      </c>
      <c r="N290" s="4">
        <v>155.75</v>
      </c>
      <c r="O290" t="s">
        <v>39</v>
      </c>
      <c r="P290">
        <v>8</v>
      </c>
    </row>
    <row r="291" spans="1:16" x14ac:dyDescent="0.35">
      <c r="A291" t="s">
        <v>984</v>
      </c>
      <c r="B291" s="10" t="s">
        <v>985</v>
      </c>
      <c r="C291" s="11" t="str">
        <f t="shared" si="4"/>
        <v>March</v>
      </c>
      <c r="D291" t="s">
        <v>986</v>
      </c>
      <c r="E291" t="s">
        <v>987</v>
      </c>
      <c r="F291" t="s">
        <v>36</v>
      </c>
      <c r="G291" t="s">
        <v>20</v>
      </c>
      <c r="H291" t="s">
        <v>21</v>
      </c>
      <c r="I291" t="s">
        <v>38</v>
      </c>
      <c r="J291">
        <v>1</v>
      </c>
      <c r="K291" s="4">
        <v>609.54</v>
      </c>
      <c r="L291" s="2">
        <v>609.54</v>
      </c>
      <c r="M291">
        <v>0.2</v>
      </c>
      <c r="N291" s="4">
        <v>235.65</v>
      </c>
      <c r="O291" t="s">
        <v>31</v>
      </c>
      <c r="P291">
        <v>9</v>
      </c>
    </row>
    <row r="292" spans="1:16" x14ac:dyDescent="0.35">
      <c r="A292" t="s">
        <v>988</v>
      </c>
      <c r="B292" s="10" t="s">
        <v>306</v>
      </c>
      <c r="C292" s="11" t="str">
        <f t="shared" si="4"/>
        <v>March</v>
      </c>
      <c r="D292" t="s">
        <v>856</v>
      </c>
      <c r="E292" t="s">
        <v>989</v>
      </c>
      <c r="F292" t="s">
        <v>36</v>
      </c>
      <c r="G292" t="s">
        <v>28</v>
      </c>
      <c r="H292" t="s">
        <v>29</v>
      </c>
      <c r="I292" t="s">
        <v>30</v>
      </c>
      <c r="J292">
        <v>1</v>
      </c>
      <c r="K292" s="4">
        <v>308.57</v>
      </c>
      <c r="L292" s="2">
        <v>308.57</v>
      </c>
      <c r="M292">
        <v>0.15</v>
      </c>
      <c r="N292" s="4">
        <v>106.07</v>
      </c>
      <c r="O292" t="s">
        <v>31</v>
      </c>
      <c r="P292">
        <v>6</v>
      </c>
    </row>
    <row r="293" spans="1:16" x14ac:dyDescent="0.35">
      <c r="A293" t="s">
        <v>990</v>
      </c>
      <c r="B293" s="10" t="s">
        <v>991</v>
      </c>
      <c r="C293" s="11" t="str">
        <f t="shared" si="4"/>
        <v>March</v>
      </c>
      <c r="D293" t="s">
        <v>85</v>
      </c>
      <c r="E293" t="s">
        <v>992</v>
      </c>
      <c r="F293" t="s">
        <v>19</v>
      </c>
      <c r="G293" t="s">
        <v>20</v>
      </c>
      <c r="H293" t="s">
        <v>29</v>
      </c>
      <c r="I293" t="s">
        <v>45</v>
      </c>
      <c r="J293">
        <v>6</v>
      </c>
      <c r="K293" s="4">
        <v>340.08</v>
      </c>
      <c r="L293" s="2">
        <v>2040.48</v>
      </c>
      <c r="M293">
        <v>0</v>
      </c>
      <c r="N293" s="4">
        <v>655.78</v>
      </c>
      <c r="O293" t="s">
        <v>31</v>
      </c>
      <c r="P293">
        <v>4</v>
      </c>
    </row>
    <row r="294" spans="1:16" x14ac:dyDescent="0.35">
      <c r="A294" t="s">
        <v>993</v>
      </c>
      <c r="B294" s="10" t="s">
        <v>994</v>
      </c>
      <c r="C294" s="11" t="str">
        <f t="shared" si="4"/>
        <v>June</v>
      </c>
      <c r="D294" t="s">
        <v>420</v>
      </c>
      <c r="E294" t="s">
        <v>995</v>
      </c>
      <c r="F294" t="s">
        <v>36</v>
      </c>
      <c r="G294" t="s">
        <v>28</v>
      </c>
      <c r="H294" t="s">
        <v>21</v>
      </c>
      <c r="I294" t="s">
        <v>22</v>
      </c>
      <c r="J294">
        <v>7</v>
      </c>
      <c r="K294" s="4">
        <v>101.33</v>
      </c>
      <c r="L294" s="2">
        <v>709.31</v>
      </c>
      <c r="M294">
        <v>0.15</v>
      </c>
      <c r="N294" s="4">
        <v>122.75</v>
      </c>
      <c r="O294" t="s">
        <v>31</v>
      </c>
      <c r="P294">
        <v>6</v>
      </c>
    </row>
    <row r="295" spans="1:16" x14ac:dyDescent="0.35">
      <c r="A295" t="s">
        <v>996</v>
      </c>
      <c r="B295" s="10" t="s">
        <v>997</v>
      </c>
      <c r="C295" s="11" t="str">
        <f t="shared" si="4"/>
        <v>August</v>
      </c>
      <c r="D295" t="s">
        <v>52</v>
      </c>
      <c r="E295" t="s">
        <v>998</v>
      </c>
      <c r="F295" t="s">
        <v>19</v>
      </c>
      <c r="G295" t="s">
        <v>28</v>
      </c>
      <c r="H295" t="s">
        <v>29</v>
      </c>
      <c r="I295" t="s">
        <v>110</v>
      </c>
      <c r="J295">
        <v>10</v>
      </c>
      <c r="K295" s="4">
        <v>945.72</v>
      </c>
      <c r="L295" s="2">
        <v>9457.2000000000007</v>
      </c>
      <c r="M295">
        <v>0.3</v>
      </c>
      <c r="N295" s="4">
        <v>1992.06</v>
      </c>
      <c r="O295" t="s">
        <v>31</v>
      </c>
      <c r="P295">
        <v>9</v>
      </c>
    </row>
    <row r="296" spans="1:16" x14ac:dyDescent="0.35">
      <c r="A296" t="s">
        <v>999</v>
      </c>
      <c r="B296" s="10" t="s">
        <v>269</v>
      </c>
      <c r="C296" s="11" t="str">
        <f t="shared" si="4"/>
        <v>June</v>
      </c>
      <c r="D296" t="s">
        <v>159</v>
      </c>
      <c r="E296" t="s">
        <v>1000</v>
      </c>
      <c r="F296" t="s">
        <v>19</v>
      </c>
      <c r="G296" t="s">
        <v>20</v>
      </c>
      <c r="H296" t="s">
        <v>29</v>
      </c>
      <c r="I296" t="s">
        <v>224</v>
      </c>
      <c r="J296">
        <v>1</v>
      </c>
      <c r="K296" s="4">
        <v>1120.23</v>
      </c>
      <c r="L296" s="2">
        <v>1120.23</v>
      </c>
      <c r="M296">
        <v>0</v>
      </c>
      <c r="N296" s="4">
        <v>511.72</v>
      </c>
      <c r="O296" t="s">
        <v>39</v>
      </c>
      <c r="P296">
        <v>1</v>
      </c>
    </row>
    <row r="297" spans="1:16" x14ac:dyDescent="0.35">
      <c r="A297" t="s">
        <v>1001</v>
      </c>
      <c r="B297" s="10" t="s">
        <v>485</v>
      </c>
      <c r="C297" s="11" t="str">
        <f t="shared" si="4"/>
        <v>August</v>
      </c>
      <c r="D297" t="s">
        <v>905</v>
      </c>
      <c r="E297" t="s">
        <v>1002</v>
      </c>
      <c r="F297" t="s">
        <v>36</v>
      </c>
      <c r="G297" t="s">
        <v>37</v>
      </c>
      <c r="H297" t="s">
        <v>21</v>
      </c>
      <c r="I297" t="s">
        <v>82</v>
      </c>
      <c r="J297">
        <v>5</v>
      </c>
      <c r="K297" s="4">
        <v>142.66</v>
      </c>
      <c r="L297" s="2">
        <v>713.3</v>
      </c>
      <c r="M297">
        <v>0.2</v>
      </c>
      <c r="N297" s="4">
        <v>89.45</v>
      </c>
      <c r="O297" t="s">
        <v>23</v>
      </c>
      <c r="P297">
        <v>5</v>
      </c>
    </row>
    <row r="298" spans="1:16" x14ac:dyDescent="0.35">
      <c r="A298" t="s">
        <v>1003</v>
      </c>
      <c r="B298" s="10" t="s">
        <v>1004</v>
      </c>
      <c r="C298" s="11" t="str">
        <f t="shared" si="4"/>
        <v>July</v>
      </c>
      <c r="D298" t="s">
        <v>65</v>
      </c>
      <c r="E298" t="s">
        <v>1005</v>
      </c>
      <c r="F298" t="s">
        <v>19</v>
      </c>
      <c r="G298" t="s">
        <v>20</v>
      </c>
      <c r="H298" t="s">
        <v>29</v>
      </c>
      <c r="I298" t="s">
        <v>30</v>
      </c>
      <c r="J298">
        <v>4</v>
      </c>
      <c r="K298" s="4">
        <v>1078.8</v>
      </c>
      <c r="L298" s="2">
        <v>4315.2</v>
      </c>
      <c r="M298">
        <v>0.2</v>
      </c>
      <c r="N298" s="4">
        <v>1328.31</v>
      </c>
      <c r="O298" t="s">
        <v>23</v>
      </c>
      <c r="P298">
        <v>2</v>
      </c>
    </row>
    <row r="299" spans="1:16" x14ac:dyDescent="0.35">
      <c r="A299" t="s">
        <v>1006</v>
      </c>
      <c r="B299" s="10" t="s">
        <v>248</v>
      </c>
      <c r="C299" s="11" t="str">
        <f t="shared" si="4"/>
        <v>December</v>
      </c>
      <c r="D299" t="s">
        <v>1007</v>
      </c>
      <c r="E299" t="s">
        <v>1008</v>
      </c>
      <c r="F299" t="s">
        <v>36</v>
      </c>
      <c r="G299" t="s">
        <v>57</v>
      </c>
      <c r="H299" t="s">
        <v>21</v>
      </c>
      <c r="I299" t="s">
        <v>105</v>
      </c>
      <c r="J299">
        <v>7</v>
      </c>
      <c r="K299" s="4">
        <v>108.3</v>
      </c>
      <c r="L299" s="2">
        <v>758.1</v>
      </c>
      <c r="M299">
        <v>0.2</v>
      </c>
      <c r="N299" s="4">
        <v>318.45</v>
      </c>
      <c r="O299" t="s">
        <v>39</v>
      </c>
      <c r="P299">
        <v>6</v>
      </c>
    </row>
    <row r="300" spans="1:16" x14ac:dyDescent="0.35">
      <c r="A300" t="s">
        <v>1009</v>
      </c>
      <c r="B300" s="10" t="s">
        <v>594</v>
      </c>
      <c r="C300" s="11" t="str">
        <f t="shared" si="4"/>
        <v>April</v>
      </c>
      <c r="D300" t="s">
        <v>1010</v>
      </c>
      <c r="E300" t="s">
        <v>1011</v>
      </c>
      <c r="F300" t="s">
        <v>19</v>
      </c>
      <c r="G300" t="s">
        <v>20</v>
      </c>
      <c r="H300" t="s">
        <v>76</v>
      </c>
      <c r="I300" t="s">
        <v>87</v>
      </c>
      <c r="J300">
        <v>6</v>
      </c>
      <c r="K300" s="4">
        <v>554.25</v>
      </c>
      <c r="L300" s="2">
        <v>3325.5</v>
      </c>
      <c r="M300">
        <v>0.05</v>
      </c>
      <c r="N300" s="4">
        <v>1643.19</v>
      </c>
      <c r="O300" t="s">
        <v>31</v>
      </c>
      <c r="P300">
        <v>2</v>
      </c>
    </row>
    <row r="301" spans="1:16" x14ac:dyDescent="0.35">
      <c r="A301" t="s">
        <v>1012</v>
      </c>
      <c r="B301" s="10" t="s">
        <v>828</v>
      </c>
      <c r="C301" s="11" t="str">
        <f t="shared" si="4"/>
        <v>April</v>
      </c>
      <c r="D301" t="s">
        <v>530</v>
      </c>
      <c r="E301" t="s">
        <v>1013</v>
      </c>
      <c r="F301" t="s">
        <v>44</v>
      </c>
      <c r="G301" t="s">
        <v>28</v>
      </c>
      <c r="H301" t="s">
        <v>29</v>
      </c>
      <c r="I301" t="s">
        <v>45</v>
      </c>
      <c r="J301">
        <v>8</v>
      </c>
      <c r="K301" s="4">
        <v>390.56</v>
      </c>
      <c r="L301" s="2">
        <v>3124.48</v>
      </c>
      <c r="M301">
        <v>0</v>
      </c>
      <c r="N301" s="4">
        <v>1048.67</v>
      </c>
      <c r="O301" t="s">
        <v>39</v>
      </c>
      <c r="P301">
        <v>2</v>
      </c>
    </row>
    <row r="302" spans="1:16" x14ac:dyDescent="0.35">
      <c r="A302" t="s">
        <v>1014</v>
      </c>
      <c r="B302" s="10" t="s">
        <v>577</v>
      </c>
      <c r="C302" s="11" t="str">
        <f t="shared" si="4"/>
        <v>April</v>
      </c>
      <c r="D302" t="s">
        <v>420</v>
      </c>
      <c r="E302" t="s">
        <v>1015</v>
      </c>
      <c r="F302" t="s">
        <v>36</v>
      </c>
      <c r="G302" t="s">
        <v>20</v>
      </c>
      <c r="H302" t="s">
        <v>29</v>
      </c>
      <c r="I302" t="s">
        <v>224</v>
      </c>
      <c r="J302">
        <v>5</v>
      </c>
      <c r="K302" s="4">
        <v>995.14</v>
      </c>
      <c r="L302" s="2">
        <v>4975.7</v>
      </c>
      <c r="M302">
        <v>0.3</v>
      </c>
      <c r="N302" s="4">
        <v>1075.1300000000001</v>
      </c>
      <c r="O302" t="s">
        <v>23</v>
      </c>
      <c r="P302">
        <v>4</v>
      </c>
    </row>
    <row r="303" spans="1:16" x14ac:dyDescent="0.35">
      <c r="A303" t="s">
        <v>1016</v>
      </c>
      <c r="B303" s="10" t="s">
        <v>1017</v>
      </c>
      <c r="C303" s="11" t="str">
        <f t="shared" si="4"/>
        <v>March</v>
      </c>
      <c r="D303" t="s">
        <v>1018</v>
      </c>
      <c r="E303" t="s">
        <v>1019</v>
      </c>
      <c r="F303" t="s">
        <v>44</v>
      </c>
      <c r="G303" t="s">
        <v>28</v>
      </c>
      <c r="H303" t="s">
        <v>76</v>
      </c>
      <c r="I303" t="s">
        <v>128</v>
      </c>
      <c r="J303">
        <v>9</v>
      </c>
      <c r="K303" s="4">
        <v>77.760000000000005</v>
      </c>
      <c r="L303" s="2">
        <v>699.84</v>
      </c>
      <c r="M303">
        <v>0.1</v>
      </c>
      <c r="N303" s="4">
        <v>280.87</v>
      </c>
      <c r="O303" t="s">
        <v>23</v>
      </c>
      <c r="P303">
        <v>9</v>
      </c>
    </row>
    <row r="304" spans="1:16" x14ac:dyDescent="0.35">
      <c r="A304" t="s">
        <v>1020</v>
      </c>
      <c r="B304" s="10" t="s">
        <v>529</v>
      </c>
      <c r="C304" s="11" t="str">
        <f t="shared" si="4"/>
        <v>February</v>
      </c>
      <c r="D304" t="s">
        <v>90</v>
      </c>
      <c r="E304" t="s">
        <v>1021</v>
      </c>
      <c r="F304" t="s">
        <v>36</v>
      </c>
      <c r="G304" t="s">
        <v>37</v>
      </c>
      <c r="H304" t="s">
        <v>29</v>
      </c>
      <c r="I304" t="s">
        <v>30</v>
      </c>
      <c r="J304">
        <v>8</v>
      </c>
      <c r="K304" s="4">
        <v>140.25</v>
      </c>
      <c r="L304" s="2">
        <v>1122</v>
      </c>
      <c r="M304">
        <v>0.05</v>
      </c>
      <c r="N304" s="4">
        <v>534.46</v>
      </c>
      <c r="O304" t="s">
        <v>31</v>
      </c>
      <c r="P304">
        <v>7</v>
      </c>
    </row>
    <row r="305" spans="1:16" x14ac:dyDescent="0.35">
      <c r="A305" t="s">
        <v>1022</v>
      </c>
      <c r="B305" s="10" t="s">
        <v>971</v>
      </c>
      <c r="C305" s="11" t="str">
        <f t="shared" si="4"/>
        <v>February</v>
      </c>
      <c r="D305" t="s">
        <v>26</v>
      </c>
      <c r="E305" t="s">
        <v>1023</v>
      </c>
      <c r="F305" t="s">
        <v>19</v>
      </c>
      <c r="G305" t="s">
        <v>28</v>
      </c>
      <c r="H305" t="s">
        <v>76</v>
      </c>
      <c r="I305" t="s">
        <v>77</v>
      </c>
      <c r="J305">
        <v>10</v>
      </c>
      <c r="K305" s="4">
        <v>711.62</v>
      </c>
      <c r="L305" s="2">
        <v>7116.2</v>
      </c>
      <c r="M305">
        <v>0</v>
      </c>
      <c r="N305" s="4">
        <v>3851.86</v>
      </c>
      <c r="O305" t="s">
        <v>31</v>
      </c>
      <c r="P305">
        <v>2</v>
      </c>
    </row>
    <row r="306" spans="1:16" x14ac:dyDescent="0.35">
      <c r="A306" t="s">
        <v>1024</v>
      </c>
      <c r="B306" s="10" t="s">
        <v>1025</v>
      </c>
      <c r="C306" s="11" t="str">
        <f t="shared" si="4"/>
        <v>October</v>
      </c>
      <c r="D306" t="s">
        <v>385</v>
      </c>
      <c r="E306" t="s">
        <v>1026</v>
      </c>
      <c r="F306" t="s">
        <v>19</v>
      </c>
      <c r="G306" t="s">
        <v>28</v>
      </c>
      <c r="H306" t="s">
        <v>76</v>
      </c>
      <c r="I306" t="s">
        <v>77</v>
      </c>
      <c r="J306">
        <v>1</v>
      </c>
      <c r="K306" s="4">
        <v>1131.8900000000001</v>
      </c>
      <c r="L306" s="2">
        <v>1131.8900000000001</v>
      </c>
      <c r="M306">
        <v>0</v>
      </c>
      <c r="N306" s="4">
        <v>546.48</v>
      </c>
      <c r="O306" t="s">
        <v>39</v>
      </c>
      <c r="P306">
        <v>1</v>
      </c>
    </row>
    <row r="307" spans="1:16" x14ac:dyDescent="0.35">
      <c r="A307" t="s">
        <v>1027</v>
      </c>
      <c r="B307" s="10" t="s">
        <v>1028</v>
      </c>
      <c r="C307" s="11" t="str">
        <f t="shared" si="4"/>
        <v>August</v>
      </c>
      <c r="D307" t="s">
        <v>167</v>
      </c>
      <c r="E307" t="s">
        <v>1029</v>
      </c>
      <c r="F307" t="s">
        <v>36</v>
      </c>
      <c r="G307" t="s">
        <v>37</v>
      </c>
      <c r="H307" t="s">
        <v>76</v>
      </c>
      <c r="I307" t="s">
        <v>128</v>
      </c>
      <c r="J307">
        <v>3</v>
      </c>
      <c r="K307" s="4">
        <v>437.65</v>
      </c>
      <c r="L307" s="2">
        <v>1312.95</v>
      </c>
      <c r="M307">
        <v>0.05</v>
      </c>
      <c r="N307" s="4">
        <v>548.82000000000005</v>
      </c>
      <c r="O307" t="s">
        <v>23</v>
      </c>
      <c r="P307">
        <v>5</v>
      </c>
    </row>
    <row r="308" spans="1:16" x14ac:dyDescent="0.35">
      <c r="A308" t="s">
        <v>1030</v>
      </c>
      <c r="B308" s="10" t="s">
        <v>945</v>
      </c>
      <c r="C308" s="11" t="str">
        <f t="shared" si="4"/>
        <v>March</v>
      </c>
      <c r="D308" t="s">
        <v>1031</v>
      </c>
      <c r="E308" t="s">
        <v>1032</v>
      </c>
      <c r="F308" t="s">
        <v>36</v>
      </c>
      <c r="G308" t="s">
        <v>37</v>
      </c>
      <c r="H308" t="s">
        <v>76</v>
      </c>
      <c r="I308" t="s">
        <v>128</v>
      </c>
      <c r="J308">
        <v>9</v>
      </c>
      <c r="K308" s="4">
        <v>585.26</v>
      </c>
      <c r="L308" s="2">
        <v>5267.34</v>
      </c>
      <c r="M308">
        <v>0</v>
      </c>
      <c r="N308" s="4">
        <v>2307.5700000000002</v>
      </c>
      <c r="O308" t="s">
        <v>23</v>
      </c>
      <c r="P308">
        <v>9</v>
      </c>
    </row>
    <row r="309" spans="1:16" x14ac:dyDescent="0.35">
      <c r="A309" t="s">
        <v>1033</v>
      </c>
      <c r="B309" s="10" t="s">
        <v>1034</v>
      </c>
      <c r="C309" s="11" t="str">
        <f t="shared" si="4"/>
        <v>October</v>
      </c>
      <c r="D309" t="s">
        <v>85</v>
      </c>
      <c r="E309" t="s">
        <v>1035</v>
      </c>
      <c r="F309" t="s">
        <v>44</v>
      </c>
      <c r="G309" t="s">
        <v>28</v>
      </c>
      <c r="H309" t="s">
        <v>29</v>
      </c>
      <c r="I309" t="s">
        <v>45</v>
      </c>
      <c r="J309">
        <v>6</v>
      </c>
      <c r="K309" s="4">
        <v>586.03</v>
      </c>
      <c r="L309" s="2">
        <v>3516.18</v>
      </c>
      <c r="M309">
        <v>0.15</v>
      </c>
      <c r="N309" s="4">
        <v>1232.52</v>
      </c>
      <c r="O309" t="s">
        <v>39</v>
      </c>
      <c r="P309">
        <v>3</v>
      </c>
    </row>
    <row r="310" spans="1:16" x14ac:dyDescent="0.35">
      <c r="A310" t="s">
        <v>1036</v>
      </c>
      <c r="B310" s="10" t="s">
        <v>708</v>
      </c>
      <c r="C310" s="11" t="str">
        <f t="shared" si="4"/>
        <v>August</v>
      </c>
      <c r="D310" t="s">
        <v>1037</v>
      </c>
      <c r="E310" t="s">
        <v>1038</v>
      </c>
      <c r="F310" t="s">
        <v>44</v>
      </c>
      <c r="G310" t="s">
        <v>37</v>
      </c>
      <c r="H310" t="s">
        <v>29</v>
      </c>
      <c r="I310" t="s">
        <v>110</v>
      </c>
      <c r="J310">
        <v>10</v>
      </c>
      <c r="K310" s="4">
        <v>278.44</v>
      </c>
      <c r="L310" s="2">
        <v>2784.4</v>
      </c>
      <c r="M310">
        <v>0.1</v>
      </c>
      <c r="N310" s="4">
        <v>1319.55</v>
      </c>
      <c r="O310" t="s">
        <v>31</v>
      </c>
      <c r="P310">
        <v>2</v>
      </c>
    </row>
    <row r="311" spans="1:16" x14ac:dyDescent="0.35">
      <c r="A311" t="s">
        <v>1039</v>
      </c>
      <c r="B311" s="10" t="s">
        <v>1040</v>
      </c>
      <c r="C311" s="11" t="str">
        <f t="shared" si="4"/>
        <v>April</v>
      </c>
      <c r="D311" t="s">
        <v>890</v>
      </c>
      <c r="E311" t="s">
        <v>1041</v>
      </c>
      <c r="F311" t="s">
        <v>44</v>
      </c>
      <c r="G311" t="s">
        <v>57</v>
      </c>
      <c r="H311" t="s">
        <v>29</v>
      </c>
      <c r="I311" t="s">
        <v>62</v>
      </c>
      <c r="J311">
        <v>4</v>
      </c>
      <c r="K311" s="4">
        <v>334.5</v>
      </c>
      <c r="L311" s="2">
        <v>1338</v>
      </c>
      <c r="M311">
        <v>0.3</v>
      </c>
      <c r="N311" s="4">
        <v>494.18</v>
      </c>
      <c r="O311" t="s">
        <v>31</v>
      </c>
      <c r="P311">
        <v>3</v>
      </c>
    </row>
    <row r="312" spans="1:16" x14ac:dyDescent="0.35">
      <c r="A312" t="s">
        <v>1042</v>
      </c>
      <c r="B312" s="10" t="s">
        <v>370</v>
      </c>
      <c r="C312" s="11" t="str">
        <f t="shared" si="4"/>
        <v>October</v>
      </c>
      <c r="D312" t="s">
        <v>1018</v>
      </c>
      <c r="E312" t="s">
        <v>1043</v>
      </c>
      <c r="F312" t="s">
        <v>19</v>
      </c>
      <c r="G312" t="s">
        <v>57</v>
      </c>
      <c r="H312" t="s">
        <v>29</v>
      </c>
      <c r="I312" t="s">
        <v>100</v>
      </c>
      <c r="J312">
        <v>6</v>
      </c>
      <c r="K312" s="4">
        <v>971.33</v>
      </c>
      <c r="L312" s="2">
        <v>5827.98</v>
      </c>
      <c r="M312">
        <v>0.3</v>
      </c>
      <c r="N312" s="4">
        <v>1658.3</v>
      </c>
      <c r="O312" t="s">
        <v>23</v>
      </c>
      <c r="P312">
        <v>10</v>
      </c>
    </row>
    <row r="313" spans="1:16" x14ac:dyDescent="0.35">
      <c r="A313" t="s">
        <v>1044</v>
      </c>
      <c r="B313" s="10" t="s">
        <v>1017</v>
      </c>
      <c r="C313" s="11" t="str">
        <f t="shared" si="4"/>
        <v>March</v>
      </c>
      <c r="D313" t="s">
        <v>905</v>
      </c>
      <c r="E313" t="s">
        <v>1045</v>
      </c>
      <c r="F313" t="s">
        <v>36</v>
      </c>
      <c r="G313" t="s">
        <v>20</v>
      </c>
      <c r="H313" t="s">
        <v>29</v>
      </c>
      <c r="I313" t="s">
        <v>100</v>
      </c>
      <c r="J313">
        <v>4</v>
      </c>
      <c r="K313" s="4">
        <v>1007.3</v>
      </c>
      <c r="L313" s="2">
        <v>4029.2</v>
      </c>
      <c r="M313">
        <v>0.15</v>
      </c>
      <c r="N313" s="4">
        <v>1140.98</v>
      </c>
      <c r="O313" t="s">
        <v>31</v>
      </c>
      <c r="P313">
        <v>4</v>
      </c>
    </row>
    <row r="314" spans="1:16" x14ac:dyDescent="0.35">
      <c r="A314" t="s">
        <v>1046</v>
      </c>
      <c r="B314" s="10" t="s">
        <v>1047</v>
      </c>
      <c r="C314" s="11" t="str">
        <f t="shared" si="4"/>
        <v>November</v>
      </c>
      <c r="D314" t="s">
        <v>859</v>
      </c>
      <c r="E314" t="s">
        <v>1048</v>
      </c>
      <c r="F314" t="s">
        <v>36</v>
      </c>
      <c r="G314" t="s">
        <v>57</v>
      </c>
      <c r="H314" t="s">
        <v>21</v>
      </c>
      <c r="I314" t="s">
        <v>105</v>
      </c>
      <c r="J314">
        <v>1</v>
      </c>
      <c r="K314" s="4">
        <v>641.21</v>
      </c>
      <c r="L314" s="2">
        <v>641.21</v>
      </c>
      <c r="M314">
        <v>0</v>
      </c>
      <c r="N314" s="4">
        <v>267.58</v>
      </c>
      <c r="O314" t="s">
        <v>23</v>
      </c>
      <c r="P314">
        <v>3</v>
      </c>
    </row>
    <row r="315" spans="1:16" x14ac:dyDescent="0.35">
      <c r="A315" t="s">
        <v>1049</v>
      </c>
      <c r="B315" s="10" t="s">
        <v>1050</v>
      </c>
      <c r="C315" s="11" t="str">
        <f t="shared" si="4"/>
        <v>February</v>
      </c>
      <c r="D315" t="s">
        <v>685</v>
      </c>
      <c r="E315" t="s">
        <v>1051</v>
      </c>
      <c r="F315" t="s">
        <v>44</v>
      </c>
      <c r="G315" t="s">
        <v>20</v>
      </c>
      <c r="H315" t="s">
        <v>76</v>
      </c>
      <c r="I315" t="s">
        <v>77</v>
      </c>
      <c r="J315">
        <v>1</v>
      </c>
      <c r="K315" s="4">
        <v>194.3</v>
      </c>
      <c r="L315" s="2">
        <v>194.3</v>
      </c>
      <c r="M315">
        <v>0.3</v>
      </c>
      <c r="N315" s="4">
        <v>24.9</v>
      </c>
      <c r="O315" t="s">
        <v>39</v>
      </c>
      <c r="P315">
        <v>7</v>
      </c>
    </row>
    <row r="316" spans="1:16" x14ac:dyDescent="0.35">
      <c r="A316" t="s">
        <v>1052</v>
      </c>
      <c r="B316" s="10" t="s">
        <v>1053</v>
      </c>
      <c r="C316" s="11" t="str">
        <f t="shared" si="4"/>
        <v>August</v>
      </c>
      <c r="D316" t="s">
        <v>163</v>
      </c>
      <c r="E316" t="s">
        <v>1054</v>
      </c>
      <c r="F316" t="s">
        <v>44</v>
      </c>
      <c r="G316" t="s">
        <v>57</v>
      </c>
      <c r="H316" t="s">
        <v>21</v>
      </c>
      <c r="I316" t="s">
        <v>22</v>
      </c>
      <c r="J316">
        <v>6</v>
      </c>
      <c r="K316" s="4">
        <v>376.08</v>
      </c>
      <c r="L316" s="2">
        <v>2256.48</v>
      </c>
      <c r="M316">
        <v>0.05</v>
      </c>
      <c r="N316" s="4">
        <v>342.25</v>
      </c>
      <c r="O316" t="s">
        <v>31</v>
      </c>
      <c r="P316">
        <v>9</v>
      </c>
    </row>
    <row r="317" spans="1:16" x14ac:dyDescent="0.35">
      <c r="A317" t="s">
        <v>1055</v>
      </c>
      <c r="B317" s="10" t="s">
        <v>1056</v>
      </c>
      <c r="C317" s="11" t="str">
        <f t="shared" si="4"/>
        <v>July</v>
      </c>
      <c r="D317" t="s">
        <v>324</v>
      </c>
      <c r="E317" t="s">
        <v>1057</v>
      </c>
      <c r="F317" t="s">
        <v>19</v>
      </c>
      <c r="G317" t="s">
        <v>57</v>
      </c>
      <c r="H317" t="s">
        <v>21</v>
      </c>
      <c r="I317" t="s">
        <v>71</v>
      </c>
      <c r="J317">
        <v>6</v>
      </c>
      <c r="K317" s="4">
        <v>283.42</v>
      </c>
      <c r="L317" s="2">
        <v>1700.52</v>
      </c>
      <c r="M317">
        <v>0.2</v>
      </c>
      <c r="N317" s="4">
        <v>305.02999999999997</v>
      </c>
      <c r="O317" t="s">
        <v>31</v>
      </c>
      <c r="P317">
        <v>3</v>
      </c>
    </row>
    <row r="318" spans="1:16" x14ac:dyDescent="0.35">
      <c r="A318" t="s">
        <v>1058</v>
      </c>
      <c r="B318" s="10" t="s">
        <v>539</v>
      </c>
      <c r="C318" s="11" t="str">
        <f t="shared" si="4"/>
        <v>November</v>
      </c>
      <c r="D318" t="s">
        <v>1059</v>
      </c>
      <c r="E318" t="s">
        <v>1060</v>
      </c>
      <c r="F318" t="s">
        <v>19</v>
      </c>
      <c r="G318" t="s">
        <v>37</v>
      </c>
      <c r="H318" t="s">
        <v>21</v>
      </c>
      <c r="I318" t="s">
        <v>22</v>
      </c>
      <c r="J318">
        <v>10</v>
      </c>
      <c r="K318" s="4">
        <v>482.09</v>
      </c>
      <c r="L318" s="2">
        <v>4820.8999999999996</v>
      </c>
      <c r="M318">
        <v>0.2</v>
      </c>
      <c r="N318" s="4">
        <v>2071.2399999999998</v>
      </c>
      <c r="O318" t="s">
        <v>23</v>
      </c>
      <c r="P318">
        <v>10</v>
      </c>
    </row>
    <row r="319" spans="1:16" x14ac:dyDescent="0.35">
      <c r="A319" t="s">
        <v>1061</v>
      </c>
      <c r="B319" s="10" t="s">
        <v>650</v>
      </c>
      <c r="C319" s="11" t="str">
        <f t="shared" si="4"/>
        <v>June</v>
      </c>
      <c r="D319" t="s">
        <v>980</v>
      </c>
      <c r="E319" t="s">
        <v>1062</v>
      </c>
      <c r="F319" t="s">
        <v>19</v>
      </c>
      <c r="G319" t="s">
        <v>20</v>
      </c>
      <c r="H319" t="s">
        <v>29</v>
      </c>
      <c r="I319" t="s">
        <v>45</v>
      </c>
      <c r="J319">
        <v>3</v>
      </c>
      <c r="K319" s="4">
        <v>410.78</v>
      </c>
      <c r="L319" s="2">
        <v>1232.3399999999999</v>
      </c>
      <c r="M319">
        <v>0</v>
      </c>
      <c r="N319" s="4">
        <v>560.47</v>
      </c>
      <c r="O319" t="s">
        <v>23</v>
      </c>
      <c r="P319">
        <v>6</v>
      </c>
    </row>
    <row r="320" spans="1:16" x14ac:dyDescent="0.35">
      <c r="A320" t="s">
        <v>1063</v>
      </c>
      <c r="B320" s="10" t="s">
        <v>1064</v>
      </c>
      <c r="C320" s="11" t="str">
        <f t="shared" si="4"/>
        <v>May</v>
      </c>
      <c r="D320" t="s">
        <v>813</v>
      </c>
      <c r="E320" t="s">
        <v>1065</v>
      </c>
      <c r="F320" t="s">
        <v>19</v>
      </c>
      <c r="G320" t="s">
        <v>20</v>
      </c>
      <c r="H320" t="s">
        <v>76</v>
      </c>
      <c r="I320" t="s">
        <v>77</v>
      </c>
      <c r="J320">
        <v>5</v>
      </c>
      <c r="K320" s="4">
        <v>267.43</v>
      </c>
      <c r="L320" s="2">
        <v>1337.15</v>
      </c>
      <c r="M320">
        <v>0.3</v>
      </c>
      <c r="N320" s="4">
        <v>489.42</v>
      </c>
      <c r="O320" t="s">
        <v>31</v>
      </c>
      <c r="P320">
        <v>7</v>
      </c>
    </row>
    <row r="321" spans="1:16" x14ac:dyDescent="0.35">
      <c r="A321" t="s">
        <v>1066</v>
      </c>
      <c r="B321" s="10" t="s">
        <v>256</v>
      </c>
      <c r="C321" s="11" t="str">
        <f t="shared" si="4"/>
        <v>June</v>
      </c>
      <c r="D321" t="s">
        <v>152</v>
      </c>
      <c r="E321" t="s">
        <v>1067</v>
      </c>
      <c r="F321" t="s">
        <v>44</v>
      </c>
      <c r="G321" t="s">
        <v>20</v>
      </c>
      <c r="H321" t="s">
        <v>76</v>
      </c>
      <c r="I321" t="s">
        <v>128</v>
      </c>
      <c r="J321">
        <v>3</v>
      </c>
      <c r="K321" s="4">
        <v>1063.77</v>
      </c>
      <c r="L321" s="2">
        <v>3191.31</v>
      </c>
      <c r="M321">
        <v>0.15</v>
      </c>
      <c r="N321" s="4">
        <v>535.17999999999995</v>
      </c>
      <c r="O321" t="s">
        <v>39</v>
      </c>
      <c r="P321">
        <v>10</v>
      </c>
    </row>
    <row r="322" spans="1:16" x14ac:dyDescent="0.35">
      <c r="A322" t="s">
        <v>1068</v>
      </c>
      <c r="B322" s="10" t="s">
        <v>650</v>
      </c>
      <c r="C322" s="11" t="str">
        <f t="shared" si="4"/>
        <v>June</v>
      </c>
      <c r="D322" t="s">
        <v>793</v>
      </c>
      <c r="E322" t="s">
        <v>1069</v>
      </c>
      <c r="F322" t="s">
        <v>36</v>
      </c>
      <c r="G322" t="s">
        <v>20</v>
      </c>
      <c r="H322" t="s">
        <v>21</v>
      </c>
      <c r="I322" t="s">
        <v>105</v>
      </c>
      <c r="J322">
        <v>3</v>
      </c>
      <c r="K322" s="4">
        <v>552.52</v>
      </c>
      <c r="L322" s="2">
        <v>1657.56</v>
      </c>
      <c r="M322">
        <v>0</v>
      </c>
      <c r="N322" s="4">
        <v>716.13</v>
      </c>
      <c r="O322" t="s">
        <v>39</v>
      </c>
      <c r="P322">
        <v>3</v>
      </c>
    </row>
    <row r="323" spans="1:16" x14ac:dyDescent="0.35">
      <c r="A323" t="s">
        <v>1070</v>
      </c>
      <c r="B323" s="10" t="s">
        <v>1047</v>
      </c>
      <c r="C323" s="11" t="str">
        <f t="shared" ref="C323:C386" si="5">TEXT(B323,"MMMM")</f>
        <v>November</v>
      </c>
      <c r="D323" t="s">
        <v>879</v>
      </c>
      <c r="E323" t="s">
        <v>1071</v>
      </c>
      <c r="F323" t="s">
        <v>19</v>
      </c>
      <c r="G323" t="s">
        <v>20</v>
      </c>
      <c r="H323" t="s">
        <v>76</v>
      </c>
      <c r="I323" t="s">
        <v>119</v>
      </c>
      <c r="J323">
        <v>2</v>
      </c>
      <c r="K323" s="4">
        <v>665.51</v>
      </c>
      <c r="L323" s="2">
        <v>1331.02</v>
      </c>
      <c r="M323">
        <v>0</v>
      </c>
      <c r="N323" s="4">
        <v>552.13</v>
      </c>
      <c r="O323" t="s">
        <v>39</v>
      </c>
      <c r="P323">
        <v>3</v>
      </c>
    </row>
    <row r="324" spans="1:16" x14ac:dyDescent="0.35">
      <c r="A324" t="s">
        <v>1072</v>
      </c>
      <c r="B324" s="10" t="s">
        <v>121</v>
      </c>
      <c r="C324" s="11" t="str">
        <f t="shared" si="5"/>
        <v>April</v>
      </c>
      <c r="D324" t="s">
        <v>1073</v>
      </c>
      <c r="E324" t="s">
        <v>1074</v>
      </c>
      <c r="F324" t="s">
        <v>19</v>
      </c>
      <c r="G324" t="s">
        <v>57</v>
      </c>
      <c r="H324" t="s">
        <v>21</v>
      </c>
      <c r="I324" t="s">
        <v>82</v>
      </c>
      <c r="J324">
        <v>3</v>
      </c>
      <c r="K324" s="4">
        <v>83.2</v>
      </c>
      <c r="L324" s="2">
        <v>249.6</v>
      </c>
      <c r="M324">
        <v>0.1</v>
      </c>
      <c r="N324" s="4">
        <v>105.08</v>
      </c>
      <c r="O324" t="s">
        <v>23</v>
      </c>
      <c r="P324">
        <v>5</v>
      </c>
    </row>
    <row r="325" spans="1:16" x14ac:dyDescent="0.35">
      <c r="A325" t="s">
        <v>1075</v>
      </c>
      <c r="B325" s="10" t="s">
        <v>1076</v>
      </c>
      <c r="C325" s="11" t="str">
        <f t="shared" si="5"/>
        <v>September</v>
      </c>
      <c r="D325" t="s">
        <v>839</v>
      </c>
      <c r="E325" t="s">
        <v>1077</v>
      </c>
      <c r="F325" t="s">
        <v>36</v>
      </c>
      <c r="G325" t="s">
        <v>57</v>
      </c>
      <c r="H325" t="s">
        <v>76</v>
      </c>
      <c r="I325" t="s">
        <v>119</v>
      </c>
      <c r="J325">
        <v>2</v>
      </c>
      <c r="K325" s="4">
        <v>78.569999999999993</v>
      </c>
      <c r="L325" s="2">
        <v>157.13999999999999</v>
      </c>
      <c r="M325">
        <v>0.2</v>
      </c>
      <c r="N325" s="4">
        <v>41.5</v>
      </c>
      <c r="O325" t="s">
        <v>31</v>
      </c>
      <c r="P325">
        <v>7</v>
      </c>
    </row>
    <row r="326" spans="1:16" x14ac:dyDescent="0.35">
      <c r="A326" t="s">
        <v>1078</v>
      </c>
      <c r="B326" s="10" t="s">
        <v>684</v>
      </c>
      <c r="C326" s="11" t="str">
        <f t="shared" si="5"/>
        <v>March</v>
      </c>
      <c r="D326" t="s">
        <v>163</v>
      </c>
      <c r="E326" t="s">
        <v>1079</v>
      </c>
      <c r="F326" t="s">
        <v>44</v>
      </c>
      <c r="G326" t="s">
        <v>20</v>
      </c>
      <c r="H326" t="s">
        <v>29</v>
      </c>
      <c r="I326" t="s">
        <v>110</v>
      </c>
      <c r="J326">
        <v>10</v>
      </c>
      <c r="K326" s="4">
        <v>586.79</v>
      </c>
      <c r="L326" s="2">
        <v>5867.9</v>
      </c>
      <c r="M326">
        <v>0</v>
      </c>
      <c r="N326" s="4">
        <v>3166.94</v>
      </c>
      <c r="O326" t="s">
        <v>39</v>
      </c>
      <c r="P326">
        <v>2</v>
      </c>
    </row>
    <row r="327" spans="1:16" x14ac:dyDescent="0.35">
      <c r="A327" t="s">
        <v>1080</v>
      </c>
      <c r="B327" s="10" t="s">
        <v>753</v>
      </c>
      <c r="C327" s="11" t="str">
        <f t="shared" si="5"/>
        <v>November</v>
      </c>
      <c r="D327" t="s">
        <v>152</v>
      </c>
      <c r="E327" t="s">
        <v>1081</v>
      </c>
      <c r="F327" t="s">
        <v>44</v>
      </c>
      <c r="G327" t="s">
        <v>37</v>
      </c>
      <c r="H327" t="s">
        <v>76</v>
      </c>
      <c r="I327" t="s">
        <v>128</v>
      </c>
      <c r="J327">
        <v>8</v>
      </c>
      <c r="K327" s="4">
        <v>597.13</v>
      </c>
      <c r="L327" s="2">
        <v>4777.04</v>
      </c>
      <c r="M327">
        <v>0.3</v>
      </c>
      <c r="N327" s="4">
        <v>1484.7</v>
      </c>
      <c r="O327" t="s">
        <v>39</v>
      </c>
      <c r="P327">
        <v>7</v>
      </c>
    </row>
    <row r="328" spans="1:16" x14ac:dyDescent="0.35">
      <c r="A328" t="s">
        <v>1082</v>
      </c>
      <c r="B328" s="10" t="s">
        <v>1083</v>
      </c>
      <c r="C328" s="11" t="str">
        <f t="shared" si="5"/>
        <v>April</v>
      </c>
      <c r="D328" t="s">
        <v>360</v>
      </c>
      <c r="E328" t="s">
        <v>1084</v>
      </c>
      <c r="F328" t="s">
        <v>19</v>
      </c>
      <c r="G328" t="s">
        <v>20</v>
      </c>
      <c r="H328" t="s">
        <v>76</v>
      </c>
      <c r="I328" t="s">
        <v>119</v>
      </c>
      <c r="J328">
        <v>8</v>
      </c>
      <c r="K328" s="4">
        <v>72.650000000000006</v>
      </c>
      <c r="L328" s="2">
        <v>581.20000000000005</v>
      </c>
      <c r="M328">
        <v>0.15</v>
      </c>
      <c r="N328" s="4">
        <v>179.81</v>
      </c>
      <c r="O328" t="s">
        <v>31</v>
      </c>
      <c r="P328">
        <v>2</v>
      </c>
    </row>
    <row r="329" spans="1:16" x14ac:dyDescent="0.35">
      <c r="A329" t="s">
        <v>1085</v>
      </c>
      <c r="B329" s="10" t="s">
        <v>1086</v>
      </c>
      <c r="C329" s="11" t="str">
        <f t="shared" si="5"/>
        <v>October</v>
      </c>
      <c r="D329" t="s">
        <v>799</v>
      </c>
      <c r="E329" t="s">
        <v>1087</v>
      </c>
      <c r="F329" t="s">
        <v>19</v>
      </c>
      <c r="G329" t="s">
        <v>20</v>
      </c>
      <c r="H329" t="s">
        <v>29</v>
      </c>
      <c r="I329" t="s">
        <v>62</v>
      </c>
      <c r="J329">
        <v>6</v>
      </c>
      <c r="K329" s="4">
        <v>973.65</v>
      </c>
      <c r="L329" s="2">
        <v>5841.9</v>
      </c>
      <c r="M329">
        <v>0.15</v>
      </c>
      <c r="N329" s="4">
        <v>803.03</v>
      </c>
      <c r="O329" t="s">
        <v>39</v>
      </c>
      <c r="P329">
        <v>9</v>
      </c>
    </row>
    <row r="330" spans="1:16" x14ac:dyDescent="0.35">
      <c r="A330" t="s">
        <v>1088</v>
      </c>
      <c r="B330" s="10" t="s">
        <v>509</v>
      </c>
      <c r="C330" s="11" t="str">
        <f t="shared" si="5"/>
        <v>February</v>
      </c>
      <c r="D330" t="s">
        <v>510</v>
      </c>
      <c r="E330" t="s">
        <v>1089</v>
      </c>
      <c r="F330" t="s">
        <v>19</v>
      </c>
      <c r="G330" t="s">
        <v>20</v>
      </c>
      <c r="H330" t="s">
        <v>76</v>
      </c>
      <c r="I330" t="s">
        <v>177</v>
      </c>
      <c r="J330">
        <v>8</v>
      </c>
      <c r="K330" s="4">
        <v>695.8</v>
      </c>
      <c r="L330" s="2">
        <v>5566.4</v>
      </c>
      <c r="M330">
        <v>0.05</v>
      </c>
      <c r="N330" s="4">
        <v>1901.04</v>
      </c>
      <c r="O330" t="s">
        <v>23</v>
      </c>
      <c r="P330">
        <v>10</v>
      </c>
    </row>
    <row r="331" spans="1:16" x14ac:dyDescent="0.35">
      <c r="A331" t="s">
        <v>1090</v>
      </c>
      <c r="B331" s="10" t="s">
        <v>605</v>
      </c>
      <c r="C331" s="11" t="str">
        <f t="shared" si="5"/>
        <v>March</v>
      </c>
      <c r="D331" t="s">
        <v>546</v>
      </c>
      <c r="E331" t="s">
        <v>1091</v>
      </c>
      <c r="F331" t="s">
        <v>36</v>
      </c>
      <c r="G331" t="s">
        <v>37</v>
      </c>
      <c r="H331" t="s">
        <v>21</v>
      </c>
      <c r="I331" t="s">
        <v>71</v>
      </c>
      <c r="J331">
        <v>10</v>
      </c>
      <c r="K331" s="4">
        <v>193.99</v>
      </c>
      <c r="L331" s="2">
        <v>1939.9</v>
      </c>
      <c r="M331">
        <v>0.15</v>
      </c>
      <c r="N331" s="4">
        <v>792.88</v>
      </c>
      <c r="O331" t="s">
        <v>31</v>
      </c>
      <c r="P331">
        <v>7</v>
      </c>
    </row>
    <row r="332" spans="1:16" x14ac:dyDescent="0.35">
      <c r="A332" t="s">
        <v>1092</v>
      </c>
      <c r="B332" s="10" t="s">
        <v>141</v>
      </c>
      <c r="C332" s="11" t="str">
        <f t="shared" si="5"/>
        <v>November</v>
      </c>
      <c r="D332" t="s">
        <v>793</v>
      </c>
      <c r="E332" t="s">
        <v>1093</v>
      </c>
      <c r="F332" t="s">
        <v>44</v>
      </c>
      <c r="G332" t="s">
        <v>20</v>
      </c>
      <c r="H332" t="s">
        <v>29</v>
      </c>
      <c r="I332" t="s">
        <v>62</v>
      </c>
      <c r="J332">
        <v>7</v>
      </c>
      <c r="K332" s="4">
        <v>258.26</v>
      </c>
      <c r="L332" s="2">
        <v>1807.82</v>
      </c>
      <c r="M332">
        <v>0.3</v>
      </c>
      <c r="N332" s="4">
        <v>621.16</v>
      </c>
      <c r="O332" t="s">
        <v>31</v>
      </c>
      <c r="P332">
        <v>7</v>
      </c>
    </row>
    <row r="333" spans="1:16" x14ac:dyDescent="0.35">
      <c r="A333" t="s">
        <v>1094</v>
      </c>
      <c r="B333" s="10" t="s">
        <v>960</v>
      </c>
      <c r="C333" s="11" t="str">
        <f t="shared" si="5"/>
        <v>January</v>
      </c>
      <c r="D333" t="s">
        <v>282</v>
      </c>
      <c r="E333" t="s">
        <v>1095</v>
      </c>
      <c r="F333" t="s">
        <v>19</v>
      </c>
      <c r="G333" t="s">
        <v>28</v>
      </c>
      <c r="H333" t="s">
        <v>21</v>
      </c>
      <c r="I333" t="s">
        <v>82</v>
      </c>
      <c r="J333">
        <v>9</v>
      </c>
      <c r="K333" s="4">
        <v>404.83</v>
      </c>
      <c r="L333" s="2">
        <v>3643.47</v>
      </c>
      <c r="M333">
        <v>0.1</v>
      </c>
      <c r="N333" s="4">
        <v>1121.8699999999999</v>
      </c>
      <c r="O333" t="s">
        <v>31</v>
      </c>
      <c r="P333">
        <v>7</v>
      </c>
    </row>
    <row r="334" spans="1:16" x14ac:dyDescent="0.35">
      <c r="A334" t="s">
        <v>1096</v>
      </c>
      <c r="B334" s="10" t="s">
        <v>739</v>
      </c>
      <c r="C334" s="11" t="str">
        <f t="shared" si="5"/>
        <v>October</v>
      </c>
      <c r="D334" t="s">
        <v>90</v>
      </c>
      <c r="E334" t="s">
        <v>1097</v>
      </c>
      <c r="F334" t="s">
        <v>36</v>
      </c>
      <c r="G334" t="s">
        <v>57</v>
      </c>
      <c r="H334" t="s">
        <v>29</v>
      </c>
      <c r="I334" t="s">
        <v>224</v>
      </c>
      <c r="J334">
        <v>10</v>
      </c>
      <c r="K334" s="4">
        <v>713.76</v>
      </c>
      <c r="L334" s="2">
        <v>7137.6</v>
      </c>
      <c r="M334">
        <v>0</v>
      </c>
      <c r="N334" s="4">
        <v>1284.97</v>
      </c>
      <c r="O334" t="s">
        <v>23</v>
      </c>
      <c r="P334">
        <v>6</v>
      </c>
    </row>
    <row r="335" spans="1:16" x14ac:dyDescent="0.35">
      <c r="A335" t="s">
        <v>1098</v>
      </c>
      <c r="B335" s="10" t="s">
        <v>423</v>
      </c>
      <c r="C335" s="11" t="str">
        <f t="shared" si="5"/>
        <v>January</v>
      </c>
      <c r="D335" t="s">
        <v>500</v>
      </c>
      <c r="E335" t="s">
        <v>1099</v>
      </c>
      <c r="F335" t="s">
        <v>44</v>
      </c>
      <c r="G335" t="s">
        <v>28</v>
      </c>
      <c r="H335" t="s">
        <v>76</v>
      </c>
      <c r="I335" t="s">
        <v>87</v>
      </c>
      <c r="J335">
        <v>7</v>
      </c>
      <c r="K335" s="4">
        <v>792.65</v>
      </c>
      <c r="L335" s="2">
        <v>5548.55</v>
      </c>
      <c r="M335">
        <v>0.2</v>
      </c>
      <c r="N335" s="4">
        <v>1360.13</v>
      </c>
      <c r="O335" t="s">
        <v>31</v>
      </c>
      <c r="P335">
        <v>10</v>
      </c>
    </row>
    <row r="336" spans="1:16" x14ac:dyDescent="0.35">
      <c r="A336" t="s">
        <v>1100</v>
      </c>
      <c r="B336" s="10" t="s">
        <v>1101</v>
      </c>
      <c r="C336" s="11" t="str">
        <f t="shared" si="5"/>
        <v>January</v>
      </c>
      <c r="D336" t="s">
        <v>468</v>
      </c>
      <c r="E336" t="s">
        <v>1102</v>
      </c>
      <c r="F336" t="s">
        <v>44</v>
      </c>
      <c r="G336" t="s">
        <v>57</v>
      </c>
      <c r="H336" t="s">
        <v>21</v>
      </c>
      <c r="I336" t="s">
        <v>82</v>
      </c>
      <c r="J336">
        <v>1</v>
      </c>
      <c r="K336" s="4">
        <v>487.04</v>
      </c>
      <c r="L336" s="2">
        <v>487.04</v>
      </c>
      <c r="M336">
        <v>0.1</v>
      </c>
      <c r="N336" s="4">
        <v>120.01</v>
      </c>
      <c r="O336" t="s">
        <v>39</v>
      </c>
      <c r="P336">
        <v>1</v>
      </c>
    </row>
    <row r="337" spans="1:16" x14ac:dyDescent="0.35">
      <c r="A337" t="s">
        <v>1103</v>
      </c>
      <c r="B337" s="10" t="s">
        <v>1104</v>
      </c>
      <c r="C337" s="11" t="str">
        <f t="shared" si="5"/>
        <v>December</v>
      </c>
      <c r="D337" t="s">
        <v>126</v>
      </c>
      <c r="E337" t="s">
        <v>1105</v>
      </c>
      <c r="F337" t="s">
        <v>36</v>
      </c>
      <c r="G337" t="s">
        <v>37</v>
      </c>
      <c r="H337" t="s">
        <v>76</v>
      </c>
      <c r="I337" t="s">
        <v>87</v>
      </c>
      <c r="J337">
        <v>5</v>
      </c>
      <c r="K337" s="4">
        <v>350.81</v>
      </c>
      <c r="L337" s="2">
        <v>1754.05</v>
      </c>
      <c r="M337">
        <v>0.15</v>
      </c>
      <c r="N337" s="4">
        <v>308.19</v>
      </c>
      <c r="O337" t="s">
        <v>39</v>
      </c>
      <c r="P337">
        <v>8</v>
      </c>
    </row>
    <row r="338" spans="1:16" x14ac:dyDescent="0.35">
      <c r="A338" t="s">
        <v>1106</v>
      </c>
      <c r="B338" s="10" t="s">
        <v>1107</v>
      </c>
      <c r="C338" s="11" t="str">
        <f t="shared" si="5"/>
        <v>April</v>
      </c>
      <c r="D338" t="s">
        <v>1073</v>
      </c>
      <c r="E338" t="s">
        <v>1108</v>
      </c>
      <c r="F338" t="s">
        <v>19</v>
      </c>
      <c r="G338" t="s">
        <v>28</v>
      </c>
      <c r="H338" t="s">
        <v>76</v>
      </c>
      <c r="I338" t="s">
        <v>87</v>
      </c>
      <c r="J338">
        <v>7</v>
      </c>
      <c r="K338" s="4">
        <v>733.88</v>
      </c>
      <c r="L338" s="2">
        <v>5137.16</v>
      </c>
      <c r="M338">
        <v>0</v>
      </c>
      <c r="N338" s="4">
        <v>2439.2600000000002</v>
      </c>
      <c r="O338" t="s">
        <v>23</v>
      </c>
      <c r="P338">
        <v>6</v>
      </c>
    </row>
    <row r="339" spans="1:16" x14ac:dyDescent="0.35">
      <c r="A339" t="s">
        <v>1109</v>
      </c>
      <c r="B339" s="10" t="s">
        <v>1110</v>
      </c>
      <c r="C339" s="11" t="str">
        <f t="shared" si="5"/>
        <v>March</v>
      </c>
      <c r="D339" t="s">
        <v>90</v>
      </c>
      <c r="E339" t="s">
        <v>1111</v>
      </c>
      <c r="F339" t="s">
        <v>19</v>
      </c>
      <c r="G339" t="s">
        <v>20</v>
      </c>
      <c r="H339" t="s">
        <v>29</v>
      </c>
      <c r="I339" t="s">
        <v>100</v>
      </c>
      <c r="J339">
        <v>3</v>
      </c>
      <c r="K339" s="4">
        <v>97.43</v>
      </c>
      <c r="L339" s="2">
        <v>292.29000000000002</v>
      </c>
      <c r="M339">
        <v>0.3</v>
      </c>
      <c r="N339" s="4">
        <v>71.05</v>
      </c>
      <c r="O339" t="s">
        <v>31</v>
      </c>
      <c r="P339">
        <v>4</v>
      </c>
    </row>
    <row r="340" spans="1:16" x14ac:dyDescent="0.35">
      <c r="A340" t="s">
        <v>1112</v>
      </c>
      <c r="B340" s="10" t="s">
        <v>47</v>
      </c>
      <c r="C340" s="11" t="str">
        <f t="shared" si="5"/>
        <v>December</v>
      </c>
      <c r="D340" t="s">
        <v>26</v>
      </c>
      <c r="E340" t="s">
        <v>1113</v>
      </c>
      <c r="F340" t="s">
        <v>44</v>
      </c>
      <c r="G340" t="s">
        <v>57</v>
      </c>
      <c r="H340" t="s">
        <v>29</v>
      </c>
      <c r="I340" t="s">
        <v>30</v>
      </c>
      <c r="J340">
        <v>4</v>
      </c>
      <c r="K340" s="4">
        <v>59.02</v>
      </c>
      <c r="L340" s="2">
        <v>236.08</v>
      </c>
      <c r="M340">
        <v>0</v>
      </c>
      <c r="N340" s="4">
        <v>43.15</v>
      </c>
      <c r="O340" t="s">
        <v>39</v>
      </c>
      <c r="P340">
        <v>9</v>
      </c>
    </row>
    <row r="341" spans="1:16" x14ac:dyDescent="0.35">
      <c r="A341" t="s">
        <v>1114</v>
      </c>
      <c r="B341" s="10" t="s">
        <v>715</v>
      </c>
      <c r="C341" s="11" t="str">
        <f t="shared" si="5"/>
        <v>April</v>
      </c>
      <c r="D341" t="s">
        <v>214</v>
      </c>
      <c r="E341" t="s">
        <v>1115</v>
      </c>
      <c r="F341" t="s">
        <v>19</v>
      </c>
      <c r="G341" t="s">
        <v>57</v>
      </c>
      <c r="H341" t="s">
        <v>76</v>
      </c>
      <c r="I341" t="s">
        <v>77</v>
      </c>
      <c r="J341">
        <v>1</v>
      </c>
      <c r="K341" s="4">
        <v>305.49</v>
      </c>
      <c r="L341" s="2">
        <v>305.49</v>
      </c>
      <c r="M341">
        <v>0.15</v>
      </c>
      <c r="N341" s="4">
        <v>81.12</v>
      </c>
      <c r="O341" t="s">
        <v>39</v>
      </c>
      <c r="P341">
        <v>3</v>
      </c>
    </row>
    <row r="342" spans="1:16" x14ac:dyDescent="0.35">
      <c r="A342" t="s">
        <v>1116</v>
      </c>
      <c r="B342" s="10" t="s">
        <v>559</v>
      </c>
      <c r="C342" s="11" t="str">
        <f t="shared" si="5"/>
        <v>October</v>
      </c>
      <c r="D342" t="s">
        <v>90</v>
      </c>
      <c r="E342" t="s">
        <v>1117</v>
      </c>
      <c r="F342" t="s">
        <v>36</v>
      </c>
      <c r="G342" t="s">
        <v>37</v>
      </c>
      <c r="H342" t="s">
        <v>76</v>
      </c>
      <c r="I342" t="s">
        <v>77</v>
      </c>
      <c r="J342">
        <v>5</v>
      </c>
      <c r="K342" s="4">
        <v>52.39</v>
      </c>
      <c r="L342" s="2">
        <v>261.95</v>
      </c>
      <c r="M342">
        <v>0</v>
      </c>
      <c r="N342" s="4">
        <v>127</v>
      </c>
      <c r="O342" t="s">
        <v>23</v>
      </c>
      <c r="P342">
        <v>4</v>
      </c>
    </row>
    <row r="343" spans="1:16" x14ac:dyDescent="0.35">
      <c r="A343" t="s">
        <v>1118</v>
      </c>
      <c r="B343" s="10" t="s">
        <v>931</v>
      </c>
      <c r="C343" s="11" t="str">
        <f t="shared" si="5"/>
        <v>December</v>
      </c>
      <c r="D343" t="s">
        <v>807</v>
      </c>
      <c r="E343" t="s">
        <v>1119</v>
      </c>
      <c r="F343" t="s">
        <v>44</v>
      </c>
      <c r="G343" t="s">
        <v>37</v>
      </c>
      <c r="H343" t="s">
        <v>21</v>
      </c>
      <c r="I343" t="s">
        <v>105</v>
      </c>
      <c r="J343">
        <v>5</v>
      </c>
      <c r="K343" s="4">
        <v>788.87</v>
      </c>
      <c r="L343" s="2">
        <v>3944.35</v>
      </c>
      <c r="M343">
        <v>0.2</v>
      </c>
      <c r="N343" s="4">
        <v>1710.2</v>
      </c>
      <c r="O343" t="s">
        <v>23</v>
      </c>
      <c r="P343">
        <v>3</v>
      </c>
    </row>
    <row r="344" spans="1:16" x14ac:dyDescent="0.35">
      <c r="A344" t="s">
        <v>1120</v>
      </c>
      <c r="B344" s="10" t="s">
        <v>1121</v>
      </c>
      <c r="C344" s="11" t="str">
        <f t="shared" si="5"/>
        <v>December</v>
      </c>
      <c r="D344" t="s">
        <v>694</v>
      </c>
      <c r="E344" t="s">
        <v>1122</v>
      </c>
      <c r="F344" t="s">
        <v>44</v>
      </c>
      <c r="G344" t="s">
        <v>28</v>
      </c>
      <c r="H344" t="s">
        <v>21</v>
      </c>
      <c r="I344" t="s">
        <v>22</v>
      </c>
      <c r="J344">
        <v>4</v>
      </c>
      <c r="K344" s="4">
        <v>317.82</v>
      </c>
      <c r="L344" s="2">
        <v>1271.28</v>
      </c>
      <c r="M344">
        <v>0.1</v>
      </c>
      <c r="N344" s="4">
        <v>303.08999999999997</v>
      </c>
      <c r="O344" t="s">
        <v>39</v>
      </c>
      <c r="P344">
        <v>6</v>
      </c>
    </row>
    <row r="345" spans="1:16" x14ac:dyDescent="0.35">
      <c r="A345" t="s">
        <v>1123</v>
      </c>
      <c r="B345" s="10" t="s">
        <v>1124</v>
      </c>
      <c r="C345" s="11" t="str">
        <f t="shared" si="5"/>
        <v>November</v>
      </c>
      <c r="D345" t="s">
        <v>510</v>
      </c>
      <c r="E345" t="s">
        <v>1125</v>
      </c>
      <c r="F345" t="s">
        <v>19</v>
      </c>
      <c r="G345" t="s">
        <v>20</v>
      </c>
      <c r="H345" t="s">
        <v>76</v>
      </c>
      <c r="I345" t="s">
        <v>87</v>
      </c>
      <c r="J345">
        <v>4</v>
      </c>
      <c r="K345" s="4">
        <v>570.70000000000005</v>
      </c>
      <c r="L345" s="2">
        <v>2282.8000000000002</v>
      </c>
      <c r="M345">
        <v>0.3</v>
      </c>
      <c r="N345" s="4">
        <v>546.09</v>
      </c>
      <c r="O345" t="s">
        <v>31</v>
      </c>
      <c r="P345">
        <v>9</v>
      </c>
    </row>
    <row r="346" spans="1:16" x14ac:dyDescent="0.35">
      <c r="A346" t="s">
        <v>1126</v>
      </c>
      <c r="B346" s="10" t="s">
        <v>1104</v>
      </c>
      <c r="C346" s="11" t="str">
        <f t="shared" si="5"/>
        <v>December</v>
      </c>
      <c r="D346" t="s">
        <v>813</v>
      </c>
      <c r="E346" t="s">
        <v>1127</v>
      </c>
      <c r="F346" t="s">
        <v>44</v>
      </c>
      <c r="G346" t="s">
        <v>20</v>
      </c>
      <c r="H346" t="s">
        <v>21</v>
      </c>
      <c r="I346" t="s">
        <v>38</v>
      </c>
      <c r="J346">
        <v>9</v>
      </c>
      <c r="K346" s="4">
        <v>783.86</v>
      </c>
      <c r="L346" s="2">
        <v>7054.74</v>
      </c>
      <c r="M346">
        <v>0.2</v>
      </c>
      <c r="N346" s="4">
        <v>2465.94</v>
      </c>
      <c r="O346" t="s">
        <v>39</v>
      </c>
      <c r="P346">
        <v>5</v>
      </c>
    </row>
    <row r="347" spans="1:16" x14ac:dyDescent="0.35">
      <c r="A347" t="s">
        <v>1128</v>
      </c>
      <c r="B347" s="10" t="s">
        <v>460</v>
      </c>
      <c r="C347" s="11" t="str">
        <f t="shared" si="5"/>
        <v>November</v>
      </c>
      <c r="D347" t="s">
        <v>759</v>
      </c>
      <c r="E347" t="s">
        <v>1129</v>
      </c>
      <c r="F347" t="s">
        <v>36</v>
      </c>
      <c r="G347" t="s">
        <v>37</v>
      </c>
      <c r="H347" t="s">
        <v>21</v>
      </c>
      <c r="I347" t="s">
        <v>38</v>
      </c>
      <c r="J347">
        <v>5</v>
      </c>
      <c r="K347" s="4">
        <v>328.15</v>
      </c>
      <c r="L347" s="2">
        <v>1640.75</v>
      </c>
      <c r="M347">
        <v>0.3</v>
      </c>
      <c r="N347" s="4">
        <v>194.24</v>
      </c>
      <c r="O347" t="s">
        <v>23</v>
      </c>
      <c r="P347">
        <v>4</v>
      </c>
    </row>
    <row r="348" spans="1:16" x14ac:dyDescent="0.35">
      <c r="A348" t="s">
        <v>1130</v>
      </c>
      <c r="B348" s="10" t="s">
        <v>1131</v>
      </c>
      <c r="C348" s="11" t="str">
        <f t="shared" si="5"/>
        <v>January</v>
      </c>
      <c r="D348" t="s">
        <v>702</v>
      </c>
      <c r="E348" t="s">
        <v>1132</v>
      </c>
      <c r="F348" t="s">
        <v>44</v>
      </c>
      <c r="G348" t="s">
        <v>57</v>
      </c>
      <c r="H348" t="s">
        <v>29</v>
      </c>
      <c r="I348" t="s">
        <v>100</v>
      </c>
      <c r="J348">
        <v>7</v>
      </c>
      <c r="K348" s="4">
        <v>799.43</v>
      </c>
      <c r="L348" s="2">
        <v>5596.01</v>
      </c>
      <c r="M348">
        <v>0.3</v>
      </c>
      <c r="N348" s="4">
        <v>1935.21</v>
      </c>
      <c r="O348" t="s">
        <v>39</v>
      </c>
      <c r="P348">
        <v>7</v>
      </c>
    </row>
    <row r="349" spans="1:16" x14ac:dyDescent="0.35">
      <c r="A349" t="s">
        <v>1133</v>
      </c>
      <c r="B349" s="10" t="s">
        <v>1134</v>
      </c>
      <c r="C349" s="11" t="str">
        <f t="shared" si="5"/>
        <v>June</v>
      </c>
      <c r="D349" t="s">
        <v>1135</v>
      </c>
      <c r="E349" t="s">
        <v>1136</v>
      </c>
      <c r="F349" t="s">
        <v>19</v>
      </c>
      <c r="G349" t="s">
        <v>37</v>
      </c>
      <c r="H349" t="s">
        <v>76</v>
      </c>
      <c r="I349" t="s">
        <v>128</v>
      </c>
      <c r="J349">
        <v>1</v>
      </c>
      <c r="K349" s="4">
        <v>707.97</v>
      </c>
      <c r="L349" s="2">
        <v>707.97</v>
      </c>
      <c r="M349">
        <v>0.2</v>
      </c>
      <c r="N349" s="4">
        <v>126.64</v>
      </c>
      <c r="O349" t="s">
        <v>23</v>
      </c>
      <c r="P349">
        <v>9</v>
      </c>
    </row>
    <row r="350" spans="1:16" x14ac:dyDescent="0.35">
      <c r="A350" t="s">
        <v>1137</v>
      </c>
      <c r="B350" s="10" t="s">
        <v>875</v>
      </c>
      <c r="C350" s="11" t="str">
        <f t="shared" si="5"/>
        <v>October</v>
      </c>
      <c r="D350" t="s">
        <v>1138</v>
      </c>
      <c r="E350" t="s">
        <v>1139</v>
      </c>
      <c r="F350" t="s">
        <v>44</v>
      </c>
      <c r="G350" t="s">
        <v>20</v>
      </c>
      <c r="H350" t="s">
        <v>21</v>
      </c>
      <c r="I350" t="s">
        <v>82</v>
      </c>
      <c r="J350">
        <v>6</v>
      </c>
      <c r="K350" s="4">
        <v>618.63</v>
      </c>
      <c r="L350" s="2">
        <v>3711.78</v>
      </c>
      <c r="M350">
        <v>0.05</v>
      </c>
      <c r="N350" s="4">
        <v>753.7</v>
      </c>
      <c r="O350" t="s">
        <v>39</v>
      </c>
      <c r="P350">
        <v>3</v>
      </c>
    </row>
    <row r="351" spans="1:16" x14ac:dyDescent="0.35">
      <c r="A351" t="s">
        <v>1140</v>
      </c>
      <c r="B351" s="10" t="s">
        <v>719</v>
      </c>
      <c r="C351" s="11" t="str">
        <f t="shared" si="5"/>
        <v>June</v>
      </c>
      <c r="D351" t="s">
        <v>702</v>
      </c>
      <c r="E351" t="s">
        <v>1141</v>
      </c>
      <c r="F351" t="s">
        <v>36</v>
      </c>
      <c r="G351" t="s">
        <v>37</v>
      </c>
      <c r="H351" t="s">
        <v>21</v>
      </c>
      <c r="I351" t="s">
        <v>38</v>
      </c>
      <c r="J351">
        <v>9</v>
      </c>
      <c r="K351" s="4">
        <v>920.24</v>
      </c>
      <c r="L351" s="2">
        <v>8282.16</v>
      </c>
      <c r="M351">
        <v>0.05</v>
      </c>
      <c r="N351" s="4">
        <v>1347.25</v>
      </c>
      <c r="O351" t="s">
        <v>39</v>
      </c>
      <c r="P351">
        <v>4</v>
      </c>
    </row>
    <row r="352" spans="1:16" x14ac:dyDescent="0.35">
      <c r="A352" t="s">
        <v>1142</v>
      </c>
      <c r="B352" s="10" t="s">
        <v>333</v>
      </c>
      <c r="C352" s="11" t="str">
        <f t="shared" si="5"/>
        <v>October</v>
      </c>
      <c r="D352" t="s">
        <v>957</v>
      </c>
      <c r="E352" t="s">
        <v>1143</v>
      </c>
      <c r="F352" t="s">
        <v>44</v>
      </c>
      <c r="G352" t="s">
        <v>20</v>
      </c>
      <c r="H352" t="s">
        <v>21</v>
      </c>
      <c r="I352" t="s">
        <v>38</v>
      </c>
      <c r="J352">
        <v>7</v>
      </c>
      <c r="K352" s="4">
        <v>949.95</v>
      </c>
      <c r="L352" s="2">
        <v>6649.65</v>
      </c>
      <c r="M352">
        <v>0.1</v>
      </c>
      <c r="N352" s="4">
        <v>2401.8200000000002</v>
      </c>
      <c r="O352" t="s">
        <v>39</v>
      </c>
      <c r="P352">
        <v>1</v>
      </c>
    </row>
    <row r="353" spans="1:16" x14ac:dyDescent="0.35">
      <c r="A353" t="s">
        <v>1144</v>
      </c>
      <c r="B353" s="10" t="s">
        <v>1145</v>
      </c>
      <c r="C353" s="11" t="str">
        <f t="shared" si="5"/>
        <v>April</v>
      </c>
      <c r="D353" t="s">
        <v>85</v>
      </c>
      <c r="E353" t="s">
        <v>1146</v>
      </c>
      <c r="F353" t="s">
        <v>36</v>
      </c>
      <c r="G353" t="s">
        <v>28</v>
      </c>
      <c r="H353" t="s">
        <v>21</v>
      </c>
      <c r="I353" t="s">
        <v>71</v>
      </c>
      <c r="J353">
        <v>10</v>
      </c>
      <c r="K353" s="4">
        <v>1134.28</v>
      </c>
      <c r="L353" s="2">
        <v>11342.8</v>
      </c>
      <c r="M353">
        <v>0</v>
      </c>
      <c r="N353" s="4">
        <v>4096.0200000000004</v>
      </c>
      <c r="O353" t="s">
        <v>23</v>
      </c>
      <c r="P353">
        <v>5</v>
      </c>
    </row>
    <row r="354" spans="1:16" x14ac:dyDescent="0.35">
      <c r="A354" t="s">
        <v>1147</v>
      </c>
      <c r="B354" s="10" t="s">
        <v>1148</v>
      </c>
      <c r="C354" s="11" t="str">
        <f t="shared" si="5"/>
        <v>October</v>
      </c>
      <c r="D354" t="s">
        <v>65</v>
      </c>
      <c r="E354" t="s">
        <v>1149</v>
      </c>
      <c r="F354" t="s">
        <v>36</v>
      </c>
      <c r="G354" t="s">
        <v>57</v>
      </c>
      <c r="H354" t="s">
        <v>76</v>
      </c>
      <c r="I354" t="s">
        <v>77</v>
      </c>
      <c r="J354">
        <v>3</v>
      </c>
      <c r="K354" s="4">
        <v>182.09</v>
      </c>
      <c r="L354" s="2">
        <v>546.27</v>
      </c>
      <c r="M354">
        <v>0.05</v>
      </c>
      <c r="N354" s="4">
        <v>214.29</v>
      </c>
      <c r="O354" t="s">
        <v>23</v>
      </c>
      <c r="P354">
        <v>3</v>
      </c>
    </row>
    <row r="355" spans="1:16" x14ac:dyDescent="0.35">
      <c r="A355" t="s">
        <v>1150</v>
      </c>
      <c r="B355" s="10" t="s">
        <v>608</v>
      </c>
      <c r="C355" s="11" t="str">
        <f t="shared" si="5"/>
        <v>January</v>
      </c>
      <c r="D355" t="s">
        <v>482</v>
      </c>
      <c r="E355" t="s">
        <v>1151</v>
      </c>
      <c r="F355" t="s">
        <v>44</v>
      </c>
      <c r="G355" t="s">
        <v>57</v>
      </c>
      <c r="H355" t="s">
        <v>29</v>
      </c>
      <c r="I355" t="s">
        <v>45</v>
      </c>
      <c r="J355">
        <v>6</v>
      </c>
      <c r="K355" s="4">
        <v>764.62</v>
      </c>
      <c r="L355" s="2">
        <v>4587.72</v>
      </c>
      <c r="M355">
        <v>0.05</v>
      </c>
      <c r="N355" s="4">
        <v>1850.7</v>
      </c>
      <c r="O355" t="s">
        <v>31</v>
      </c>
      <c r="P355">
        <v>3</v>
      </c>
    </row>
    <row r="356" spans="1:16" x14ac:dyDescent="0.35">
      <c r="A356" t="s">
        <v>1152</v>
      </c>
      <c r="B356" s="10" t="s">
        <v>1153</v>
      </c>
      <c r="C356" s="11" t="str">
        <f t="shared" si="5"/>
        <v>August</v>
      </c>
      <c r="D356" t="s">
        <v>159</v>
      </c>
      <c r="E356" t="s">
        <v>1154</v>
      </c>
      <c r="F356" t="s">
        <v>44</v>
      </c>
      <c r="G356" t="s">
        <v>28</v>
      </c>
      <c r="H356" t="s">
        <v>21</v>
      </c>
      <c r="I356" t="s">
        <v>105</v>
      </c>
      <c r="J356">
        <v>8</v>
      </c>
      <c r="K356" s="4">
        <v>946.55</v>
      </c>
      <c r="L356" s="2">
        <v>7572.4</v>
      </c>
      <c r="M356">
        <v>0</v>
      </c>
      <c r="N356" s="4">
        <v>3772.85</v>
      </c>
      <c r="O356" t="s">
        <v>39</v>
      </c>
      <c r="P356">
        <v>8</v>
      </c>
    </row>
    <row r="357" spans="1:16" x14ac:dyDescent="0.35">
      <c r="A357" t="s">
        <v>1155</v>
      </c>
      <c r="B357" s="10" t="s">
        <v>1156</v>
      </c>
      <c r="C357" s="11" t="str">
        <f t="shared" si="5"/>
        <v>January</v>
      </c>
      <c r="D357" t="s">
        <v>712</v>
      </c>
      <c r="E357" t="s">
        <v>1157</v>
      </c>
      <c r="F357" t="s">
        <v>19</v>
      </c>
      <c r="G357" t="s">
        <v>37</v>
      </c>
      <c r="H357" t="s">
        <v>76</v>
      </c>
      <c r="I357" t="s">
        <v>77</v>
      </c>
      <c r="J357">
        <v>1</v>
      </c>
      <c r="K357" s="4">
        <v>649.86</v>
      </c>
      <c r="L357" s="2">
        <v>649.86</v>
      </c>
      <c r="M357">
        <v>0.3</v>
      </c>
      <c r="N357" s="4">
        <v>182.31</v>
      </c>
      <c r="O357" t="s">
        <v>31</v>
      </c>
      <c r="P357">
        <v>1</v>
      </c>
    </row>
    <row r="358" spans="1:16" x14ac:dyDescent="0.35">
      <c r="A358" t="s">
        <v>1158</v>
      </c>
      <c r="B358" s="10" t="s">
        <v>16</v>
      </c>
      <c r="C358" s="11" t="str">
        <f t="shared" si="5"/>
        <v>February</v>
      </c>
      <c r="D358" t="s">
        <v>1159</v>
      </c>
      <c r="E358" t="s">
        <v>1160</v>
      </c>
      <c r="F358" t="s">
        <v>19</v>
      </c>
      <c r="G358" t="s">
        <v>57</v>
      </c>
      <c r="H358" t="s">
        <v>21</v>
      </c>
      <c r="I358" t="s">
        <v>105</v>
      </c>
      <c r="J358">
        <v>4</v>
      </c>
      <c r="K358" s="4">
        <v>838.36</v>
      </c>
      <c r="L358" s="2">
        <v>3353.44</v>
      </c>
      <c r="M358">
        <v>0.1</v>
      </c>
      <c r="N358" s="4">
        <v>1283.18</v>
      </c>
      <c r="O358" t="s">
        <v>31</v>
      </c>
      <c r="P358">
        <v>2</v>
      </c>
    </row>
    <row r="359" spans="1:16" x14ac:dyDescent="0.35">
      <c r="A359" t="s">
        <v>1161</v>
      </c>
      <c r="B359" s="10" t="s">
        <v>252</v>
      </c>
      <c r="C359" s="11" t="str">
        <f t="shared" si="5"/>
        <v>June</v>
      </c>
      <c r="D359" t="s">
        <v>191</v>
      </c>
      <c r="E359" t="s">
        <v>1162</v>
      </c>
      <c r="F359" t="s">
        <v>19</v>
      </c>
      <c r="G359" t="s">
        <v>37</v>
      </c>
      <c r="H359" t="s">
        <v>29</v>
      </c>
      <c r="I359" t="s">
        <v>110</v>
      </c>
      <c r="J359">
        <v>5</v>
      </c>
      <c r="K359" s="4">
        <v>557.99</v>
      </c>
      <c r="L359" s="2">
        <v>2789.95</v>
      </c>
      <c r="M359">
        <v>0.2</v>
      </c>
      <c r="N359" s="4">
        <v>695.15</v>
      </c>
      <c r="O359" t="s">
        <v>39</v>
      </c>
      <c r="P359">
        <v>8</v>
      </c>
    </row>
    <row r="360" spans="1:16" x14ac:dyDescent="0.35">
      <c r="A360" t="s">
        <v>1163</v>
      </c>
      <c r="B360" s="10" t="s">
        <v>1164</v>
      </c>
      <c r="C360" s="11" t="str">
        <f t="shared" si="5"/>
        <v>April</v>
      </c>
      <c r="D360" t="s">
        <v>42</v>
      </c>
      <c r="E360" t="s">
        <v>1165</v>
      </c>
      <c r="F360" t="s">
        <v>36</v>
      </c>
      <c r="G360" t="s">
        <v>37</v>
      </c>
      <c r="H360" t="s">
        <v>76</v>
      </c>
      <c r="I360" t="s">
        <v>119</v>
      </c>
      <c r="J360">
        <v>3</v>
      </c>
      <c r="K360" s="4">
        <v>1138.74</v>
      </c>
      <c r="L360" s="2">
        <v>3416.22</v>
      </c>
      <c r="M360">
        <v>0.15</v>
      </c>
      <c r="N360" s="4">
        <v>1574.87</v>
      </c>
      <c r="O360" t="s">
        <v>23</v>
      </c>
      <c r="P360">
        <v>1</v>
      </c>
    </row>
    <row r="361" spans="1:16" x14ac:dyDescent="0.35">
      <c r="A361" t="s">
        <v>1166</v>
      </c>
      <c r="B361" s="10" t="s">
        <v>423</v>
      </c>
      <c r="C361" s="11" t="str">
        <f t="shared" si="5"/>
        <v>January</v>
      </c>
      <c r="D361" t="s">
        <v>866</v>
      </c>
      <c r="E361" t="s">
        <v>1167</v>
      </c>
      <c r="F361" t="s">
        <v>19</v>
      </c>
      <c r="G361" t="s">
        <v>57</v>
      </c>
      <c r="H361" t="s">
        <v>21</v>
      </c>
      <c r="I361" t="s">
        <v>71</v>
      </c>
      <c r="J361">
        <v>3</v>
      </c>
      <c r="K361" s="4">
        <v>165.33</v>
      </c>
      <c r="L361" s="2">
        <v>495.99</v>
      </c>
      <c r="M361">
        <v>0.3</v>
      </c>
      <c r="N361" s="4">
        <v>100.61</v>
      </c>
      <c r="O361" t="s">
        <v>23</v>
      </c>
      <c r="P361">
        <v>10</v>
      </c>
    </row>
    <row r="362" spans="1:16" x14ac:dyDescent="0.35">
      <c r="A362" t="s">
        <v>1168</v>
      </c>
      <c r="B362" s="10" t="s">
        <v>775</v>
      </c>
      <c r="C362" s="11" t="str">
        <f t="shared" si="5"/>
        <v>January</v>
      </c>
      <c r="D362" t="s">
        <v>318</v>
      </c>
      <c r="E362" t="s">
        <v>1169</v>
      </c>
      <c r="F362" t="s">
        <v>36</v>
      </c>
      <c r="G362" t="s">
        <v>28</v>
      </c>
      <c r="H362" t="s">
        <v>29</v>
      </c>
      <c r="I362" t="s">
        <v>100</v>
      </c>
      <c r="J362">
        <v>1</v>
      </c>
      <c r="K362" s="4">
        <v>801.12</v>
      </c>
      <c r="L362" s="2">
        <v>801.12</v>
      </c>
      <c r="M362">
        <v>0.3</v>
      </c>
      <c r="N362" s="4">
        <v>120.88</v>
      </c>
      <c r="O362" t="s">
        <v>39</v>
      </c>
      <c r="P362">
        <v>7</v>
      </c>
    </row>
    <row r="363" spans="1:16" x14ac:dyDescent="0.35">
      <c r="A363" t="s">
        <v>1170</v>
      </c>
      <c r="B363" s="10" t="s">
        <v>158</v>
      </c>
      <c r="C363" s="11" t="str">
        <f t="shared" si="5"/>
        <v>December</v>
      </c>
      <c r="D363" t="s">
        <v>1171</v>
      </c>
      <c r="E363" t="s">
        <v>1172</v>
      </c>
      <c r="F363" t="s">
        <v>36</v>
      </c>
      <c r="G363" t="s">
        <v>57</v>
      </c>
      <c r="H363" t="s">
        <v>29</v>
      </c>
      <c r="I363" t="s">
        <v>100</v>
      </c>
      <c r="J363">
        <v>5</v>
      </c>
      <c r="K363" s="4">
        <v>579.79</v>
      </c>
      <c r="L363" s="2">
        <v>2898.95</v>
      </c>
      <c r="M363">
        <v>0.05</v>
      </c>
      <c r="N363" s="4">
        <v>1288.33</v>
      </c>
      <c r="O363" t="s">
        <v>39</v>
      </c>
      <c r="P363">
        <v>2</v>
      </c>
    </row>
    <row r="364" spans="1:16" x14ac:dyDescent="0.35">
      <c r="A364" t="s">
        <v>1173</v>
      </c>
      <c r="B364" s="10" t="s">
        <v>1174</v>
      </c>
      <c r="C364" s="11" t="str">
        <f t="shared" si="5"/>
        <v>February</v>
      </c>
      <c r="D364" t="s">
        <v>898</v>
      </c>
      <c r="E364" t="s">
        <v>1175</v>
      </c>
      <c r="F364" t="s">
        <v>19</v>
      </c>
      <c r="G364" t="s">
        <v>20</v>
      </c>
      <c r="H364" t="s">
        <v>21</v>
      </c>
      <c r="I364" t="s">
        <v>71</v>
      </c>
      <c r="J364">
        <v>5</v>
      </c>
      <c r="K364" s="4">
        <v>754.9</v>
      </c>
      <c r="L364" s="2">
        <v>3774.5</v>
      </c>
      <c r="M364">
        <v>0.3</v>
      </c>
      <c r="N364" s="4">
        <v>1308.22</v>
      </c>
      <c r="O364" t="s">
        <v>39</v>
      </c>
      <c r="P364">
        <v>2</v>
      </c>
    </row>
    <row r="365" spans="1:16" x14ac:dyDescent="0.35">
      <c r="A365" t="s">
        <v>1176</v>
      </c>
      <c r="B365" s="10" t="s">
        <v>594</v>
      </c>
      <c r="C365" s="11" t="str">
        <f t="shared" si="5"/>
        <v>April</v>
      </c>
      <c r="D365" t="s">
        <v>171</v>
      </c>
      <c r="E365" t="s">
        <v>1177</v>
      </c>
      <c r="F365" t="s">
        <v>19</v>
      </c>
      <c r="G365" t="s">
        <v>28</v>
      </c>
      <c r="H365" t="s">
        <v>29</v>
      </c>
      <c r="I365" t="s">
        <v>45</v>
      </c>
      <c r="J365">
        <v>4</v>
      </c>
      <c r="K365" s="4">
        <v>738.62</v>
      </c>
      <c r="L365" s="2">
        <v>2954.48</v>
      </c>
      <c r="M365">
        <v>0.1</v>
      </c>
      <c r="N365" s="4">
        <v>578.07000000000005</v>
      </c>
      <c r="O365" t="s">
        <v>39</v>
      </c>
      <c r="P365">
        <v>3</v>
      </c>
    </row>
    <row r="366" spans="1:16" x14ac:dyDescent="0.35">
      <c r="A366" t="s">
        <v>1178</v>
      </c>
      <c r="B366" s="10" t="s">
        <v>1179</v>
      </c>
      <c r="C366" s="11" t="str">
        <f t="shared" si="5"/>
        <v>June</v>
      </c>
      <c r="D366" t="s">
        <v>444</v>
      </c>
      <c r="E366" t="s">
        <v>1180</v>
      </c>
      <c r="F366" t="s">
        <v>36</v>
      </c>
      <c r="G366" t="s">
        <v>20</v>
      </c>
      <c r="H366" t="s">
        <v>29</v>
      </c>
      <c r="I366" t="s">
        <v>100</v>
      </c>
      <c r="J366">
        <v>8</v>
      </c>
      <c r="K366" s="4">
        <v>1094.22</v>
      </c>
      <c r="L366" s="2">
        <v>8753.76</v>
      </c>
      <c r="M366">
        <v>0.3</v>
      </c>
      <c r="N366" s="4">
        <v>1083.06</v>
      </c>
      <c r="O366" t="s">
        <v>23</v>
      </c>
      <c r="P366">
        <v>2</v>
      </c>
    </row>
    <row r="367" spans="1:16" x14ac:dyDescent="0.35">
      <c r="A367" t="s">
        <v>1181</v>
      </c>
      <c r="B367" s="10" t="s">
        <v>373</v>
      </c>
      <c r="C367" s="11" t="str">
        <f t="shared" si="5"/>
        <v>February</v>
      </c>
      <c r="D367" t="s">
        <v>1135</v>
      </c>
      <c r="E367" t="s">
        <v>1182</v>
      </c>
      <c r="F367" t="s">
        <v>19</v>
      </c>
      <c r="G367" t="s">
        <v>20</v>
      </c>
      <c r="H367" t="s">
        <v>29</v>
      </c>
      <c r="I367" t="s">
        <v>100</v>
      </c>
      <c r="J367">
        <v>8</v>
      </c>
      <c r="K367" s="4">
        <v>195.99</v>
      </c>
      <c r="L367" s="2">
        <v>1567.92</v>
      </c>
      <c r="M367">
        <v>0</v>
      </c>
      <c r="N367" s="4">
        <v>373.46</v>
      </c>
      <c r="O367" t="s">
        <v>39</v>
      </c>
      <c r="P367">
        <v>4</v>
      </c>
    </row>
    <row r="368" spans="1:16" x14ac:dyDescent="0.35">
      <c r="A368" t="s">
        <v>1183</v>
      </c>
      <c r="B368" s="10" t="s">
        <v>170</v>
      </c>
      <c r="C368" s="11" t="str">
        <f t="shared" si="5"/>
        <v>January</v>
      </c>
      <c r="D368" t="s">
        <v>299</v>
      </c>
      <c r="E368" t="s">
        <v>1184</v>
      </c>
      <c r="F368" t="s">
        <v>44</v>
      </c>
      <c r="G368" t="s">
        <v>57</v>
      </c>
      <c r="H368" t="s">
        <v>76</v>
      </c>
      <c r="I368" t="s">
        <v>87</v>
      </c>
      <c r="J368">
        <v>5</v>
      </c>
      <c r="K368" s="4">
        <v>567.85</v>
      </c>
      <c r="L368" s="2">
        <v>2839.25</v>
      </c>
      <c r="M368">
        <v>0</v>
      </c>
      <c r="N368" s="4">
        <v>638.05999999999995</v>
      </c>
      <c r="O368" t="s">
        <v>39</v>
      </c>
      <c r="P368">
        <v>2</v>
      </c>
    </row>
    <row r="369" spans="1:16" x14ac:dyDescent="0.35">
      <c r="A369" t="s">
        <v>1185</v>
      </c>
      <c r="B369" s="10" t="s">
        <v>336</v>
      </c>
      <c r="C369" s="11" t="str">
        <f t="shared" si="5"/>
        <v>June</v>
      </c>
      <c r="D369" t="s">
        <v>171</v>
      </c>
      <c r="E369" t="s">
        <v>1186</v>
      </c>
      <c r="F369" t="s">
        <v>44</v>
      </c>
      <c r="G369" t="s">
        <v>57</v>
      </c>
      <c r="H369" t="s">
        <v>29</v>
      </c>
      <c r="I369" t="s">
        <v>30</v>
      </c>
      <c r="J369">
        <v>1</v>
      </c>
      <c r="K369" s="4">
        <v>1025.3599999999999</v>
      </c>
      <c r="L369" s="2">
        <v>1025.3599999999999</v>
      </c>
      <c r="M369">
        <v>0.3</v>
      </c>
      <c r="N369" s="4">
        <v>208.95</v>
      </c>
      <c r="O369" t="s">
        <v>23</v>
      </c>
      <c r="P369">
        <v>2</v>
      </c>
    </row>
    <row r="370" spans="1:16" x14ac:dyDescent="0.35">
      <c r="A370" t="s">
        <v>1187</v>
      </c>
      <c r="B370" s="10" t="s">
        <v>1188</v>
      </c>
      <c r="C370" s="11" t="str">
        <f t="shared" si="5"/>
        <v>May</v>
      </c>
      <c r="D370" t="s">
        <v>1159</v>
      </c>
      <c r="E370" t="s">
        <v>1189</v>
      </c>
      <c r="F370" t="s">
        <v>19</v>
      </c>
      <c r="G370" t="s">
        <v>28</v>
      </c>
      <c r="H370" t="s">
        <v>76</v>
      </c>
      <c r="I370" t="s">
        <v>87</v>
      </c>
      <c r="J370">
        <v>3</v>
      </c>
      <c r="K370" s="4">
        <v>154.32</v>
      </c>
      <c r="L370" s="2">
        <v>462.96</v>
      </c>
      <c r="M370">
        <v>0.15</v>
      </c>
      <c r="N370" s="4">
        <v>64.959999999999994</v>
      </c>
      <c r="O370" t="s">
        <v>39</v>
      </c>
      <c r="P370">
        <v>3</v>
      </c>
    </row>
    <row r="371" spans="1:16" x14ac:dyDescent="0.35">
      <c r="A371" t="s">
        <v>1190</v>
      </c>
      <c r="B371" s="10" t="s">
        <v>370</v>
      </c>
      <c r="C371" s="11" t="str">
        <f t="shared" si="5"/>
        <v>October</v>
      </c>
      <c r="D371" t="s">
        <v>879</v>
      </c>
      <c r="E371" t="s">
        <v>1191</v>
      </c>
      <c r="F371" t="s">
        <v>19</v>
      </c>
      <c r="G371" t="s">
        <v>28</v>
      </c>
      <c r="H371" t="s">
        <v>29</v>
      </c>
      <c r="I371" t="s">
        <v>224</v>
      </c>
      <c r="J371">
        <v>1</v>
      </c>
      <c r="K371" s="4">
        <v>1178.25</v>
      </c>
      <c r="L371" s="2">
        <v>1178.25</v>
      </c>
      <c r="M371">
        <v>0.05</v>
      </c>
      <c r="N371" s="4">
        <v>569.20000000000005</v>
      </c>
      <c r="O371" t="s">
        <v>31</v>
      </c>
      <c r="P371">
        <v>10</v>
      </c>
    </row>
    <row r="372" spans="1:16" x14ac:dyDescent="0.35">
      <c r="A372" t="s">
        <v>1192</v>
      </c>
      <c r="B372" s="10" t="s">
        <v>162</v>
      </c>
      <c r="C372" s="11" t="str">
        <f t="shared" si="5"/>
        <v>March</v>
      </c>
      <c r="D372" t="s">
        <v>879</v>
      </c>
      <c r="E372" t="s">
        <v>1193</v>
      </c>
      <c r="F372" t="s">
        <v>44</v>
      </c>
      <c r="G372" t="s">
        <v>20</v>
      </c>
      <c r="H372" t="s">
        <v>76</v>
      </c>
      <c r="I372" t="s">
        <v>87</v>
      </c>
      <c r="J372">
        <v>10</v>
      </c>
      <c r="K372" s="4">
        <v>54</v>
      </c>
      <c r="L372" s="2">
        <v>540</v>
      </c>
      <c r="M372">
        <v>0.3</v>
      </c>
      <c r="N372" s="4">
        <v>74.849999999999994</v>
      </c>
      <c r="O372" t="s">
        <v>39</v>
      </c>
      <c r="P372">
        <v>8</v>
      </c>
    </row>
    <row r="373" spans="1:16" x14ac:dyDescent="0.35">
      <c r="A373" t="s">
        <v>1194</v>
      </c>
      <c r="B373" s="10" t="s">
        <v>1195</v>
      </c>
      <c r="C373" s="11" t="str">
        <f t="shared" si="5"/>
        <v>December</v>
      </c>
      <c r="D373" t="s">
        <v>685</v>
      </c>
      <c r="E373" t="s">
        <v>1196</v>
      </c>
      <c r="F373" t="s">
        <v>19</v>
      </c>
      <c r="G373" t="s">
        <v>37</v>
      </c>
      <c r="H373" t="s">
        <v>29</v>
      </c>
      <c r="I373" t="s">
        <v>30</v>
      </c>
      <c r="J373">
        <v>5</v>
      </c>
      <c r="K373" s="4">
        <v>792.87</v>
      </c>
      <c r="L373" s="2">
        <v>3964.35</v>
      </c>
      <c r="M373">
        <v>0</v>
      </c>
      <c r="N373" s="4">
        <v>1063.1300000000001</v>
      </c>
      <c r="O373" t="s">
        <v>23</v>
      </c>
      <c r="P373">
        <v>6</v>
      </c>
    </row>
    <row r="374" spans="1:16" x14ac:dyDescent="0.35">
      <c r="A374" t="s">
        <v>1197</v>
      </c>
      <c r="B374" s="10" t="s">
        <v>475</v>
      </c>
      <c r="C374" s="11" t="str">
        <f t="shared" si="5"/>
        <v>September</v>
      </c>
      <c r="D374" t="s">
        <v>750</v>
      </c>
      <c r="E374" t="s">
        <v>1198</v>
      </c>
      <c r="F374" t="s">
        <v>19</v>
      </c>
      <c r="G374" t="s">
        <v>28</v>
      </c>
      <c r="H374" t="s">
        <v>21</v>
      </c>
      <c r="I374" t="s">
        <v>71</v>
      </c>
      <c r="J374">
        <v>10</v>
      </c>
      <c r="K374" s="4">
        <v>132.38999999999999</v>
      </c>
      <c r="L374" s="2">
        <v>1323.9</v>
      </c>
      <c r="M374">
        <v>0.3</v>
      </c>
      <c r="N374" s="4">
        <v>240.34</v>
      </c>
      <c r="O374" t="s">
        <v>31</v>
      </c>
      <c r="P374">
        <v>9</v>
      </c>
    </row>
    <row r="375" spans="1:16" x14ac:dyDescent="0.35">
      <c r="A375" t="s">
        <v>1199</v>
      </c>
      <c r="B375" s="10" t="s">
        <v>1200</v>
      </c>
      <c r="C375" s="11" t="str">
        <f t="shared" si="5"/>
        <v>August</v>
      </c>
      <c r="D375" t="s">
        <v>1201</v>
      </c>
      <c r="E375" t="s">
        <v>1202</v>
      </c>
      <c r="F375" t="s">
        <v>36</v>
      </c>
      <c r="G375" t="s">
        <v>20</v>
      </c>
      <c r="H375" t="s">
        <v>21</v>
      </c>
      <c r="I375" t="s">
        <v>22</v>
      </c>
      <c r="J375">
        <v>1</v>
      </c>
      <c r="K375" s="4">
        <v>779.21</v>
      </c>
      <c r="L375" s="2">
        <v>779.21</v>
      </c>
      <c r="M375">
        <v>0.05</v>
      </c>
      <c r="N375" s="4">
        <v>257.44</v>
      </c>
      <c r="O375" t="s">
        <v>39</v>
      </c>
      <c r="P375">
        <v>6</v>
      </c>
    </row>
    <row r="376" spans="1:16" x14ac:dyDescent="0.35">
      <c r="A376" t="s">
        <v>1203</v>
      </c>
      <c r="B376" s="10" t="s">
        <v>1056</v>
      </c>
      <c r="C376" s="11" t="str">
        <f t="shared" si="5"/>
        <v>July</v>
      </c>
      <c r="D376" t="s">
        <v>1204</v>
      </c>
      <c r="E376" t="s">
        <v>1205</v>
      </c>
      <c r="F376" t="s">
        <v>36</v>
      </c>
      <c r="G376" t="s">
        <v>20</v>
      </c>
      <c r="H376" t="s">
        <v>29</v>
      </c>
      <c r="I376" t="s">
        <v>110</v>
      </c>
      <c r="J376">
        <v>5</v>
      </c>
      <c r="K376" s="4">
        <v>79.41</v>
      </c>
      <c r="L376" s="2">
        <v>397.05</v>
      </c>
      <c r="M376">
        <v>0.05</v>
      </c>
      <c r="N376" s="4">
        <v>124.4</v>
      </c>
      <c r="O376" t="s">
        <v>39</v>
      </c>
      <c r="P376">
        <v>8</v>
      </c>
    </row>
    <row r="377" spans="1:16" x14ac:dyDescent="0.35">
      <c r="A377" t="s">
        <v>1206</v>
      </c>
      <c r="B377" s="10" t="s">
        <v>1207</v>
      </c>
      <c r="C377" s="11" t="str">
        <f t="shared" si="5"/>
        <v>September</v>
      </c>
      <c r="D377" t="s">
        <v>468</v>
      </c>
      <c r="E377" t="s">
        <v>1208</v>
      </c>
      <c r="F377" t="s">
        <v>19</v>
      </c>
      <c r="G377" t="s">
        <v>20</v>
      </c>
      <c r="H377" t="s">
        <v>21</v>
      </c>
      <c r="I377" t="s">
        <v>82</v>
      </c>
      <c r="J377">
        <v>2</v>
      </c>
      <c r="K377" s="4">
        <v>1030.78</v>
      </c>
      <c r="L377" s="2">
        <v>2061.56</v>
      </c>
      <c r="M377">
        <v>0.15</v>
      </c>
      <c r="N377" s="4">
        <v>742.24</v>
      </c>
      <c r="O377" t="s">
        <v>31</v>
      </c>
      <c r="P377">
        <v>7</v>
      </c>
    </row>
    <row r="378" spans="1:16" x14ac:dyDescent="0.35">
      <c r="A378" t="s">
        <v>1209</v>
      </c>
      <c r="B378" s="10" t="s">
        <v>488</v>
      </c>
      <c r="C378" s="11" t="str">
        <f t="shared" si="5"/>
        <v>November</v>
      </c>
      <c r="D378" t="s">
        <v>163</v>
      </c>
      <c r="E378" t="s">
        <v>1210</v>
      </c>
      <c r="F378" t="s">
        <v>44</v>
      </c>
      <c r="G378" t="s">
        <v>37</v>
      </c>
      <c r="H378" t="s">
        <v>76</v>
      </c>
      <c r="I378" t="s">
        <v>77</v>
      </c>
      <c r="J378">
        <v>9</v>
      </c>
      <c r="K378" s="4">
        <v>667.94</v>
      </c>
      <c r="L378" s="2">
        <v>6011.46</v>
      </c>
      <c r="M378">
        <v>0</v>
      </c>
      <c r="N378" s="4">
        <v>1402.39</v>
      </c>
      <c r="O378" t="s">
        <v>23</v>
      </c>
      <c r="P378">
        <v>8</v>
      </c>
    </row>
    <row r="379" spans="1:16" x14ac:dyDescent="0.35">
      <c r="A379" t="s">
        <v>1211</v>
      </c>
      <c r="B379" s="10" t="s">
        <v>388</v>
      </c>
      <c r="C379" s="11" t="str">
        <f t="shared" si="5"/>
        <v>November</v>
      </c>
      <c r="D379" t="s">
        <v>497</v>
      </c>
      <c r="E379" t="s">
        <v>1212</v>
      </c>
      <c r="F379" t="s">
        <v>44</v>
      </c>
      <c r="G379" t="s">
        <v>57</v>
      </c>
      <c r="H379" t="s">
        <v>76</v>
      </c>
      <c r="I379" t="s">
        <v>87</v>
      </c>
      <c r="J379">
        <v>1</v>
      </c>
      <c r="K379" s="4">
        <v>983.57</v>
      </c>
      <c r="L379" s="2">
        <v>983.57</v>
      </c>
      <c r="M379">
        <v>0.15</v>
      </c>
      <c r="N379" s="4">
        <v>348.8</v>
      </c>
      <c r="O379" t="s">
        <v>23</v>
      </c>
      <c r="P379">
        <v>8</v>
      </c>
    </row>
    <row r="380" spans="1:16" x14ac:dyDescent="0.35">
      <c r="A380" t="s">
        <v>1213</v>
      </c>
      <c r="B380" s="10" t="s">
        <v>862</v>
      </c>
      <c r="C380" s="11" t="str">
        <f t="shared" si="5"/>
        <v>May</v>
      </c>
      <c r="D380" t="s">
        <v>736</v>
      </c>
      <c r="E380" t="s">
        <v>1214</v>
      </c>
      <c r="F380" t="s">
        <v>19</v>
      </c>
      <c r="G380" t="s">
        <v>57</v>
      </c>
      <c r="H380" t="s">
        <v>29</v>
      </c>
      <c r="I380" t="s">
        <v>30</v>
      </c>
      <c r="J380">
        <v>4</v>
      </c>
      <c r="K380" s="4">
        <v>22.59</v>
      </c>
      <c r="L380" s="2">
        <v>90.36</v>
      </c>
      <c r="M380">
        <v>0.1</v>
      </c>
      <c r="N380" s="4">
        <v>17.73</v>
      </c>
      <c r="O380" t="s">
        <v>23</v>
      </c>
      <c r="P380">
        <v>2</v>
      </c>
    </row>
    <row r="381" spans="1:16" x14ac:dyDescent="0.35">
      <c r="A381" t="s">
        <v>1215</v>
      </c>
      <c r="B381" s="10" t="s">
        <v>1216</v>
      </c>
      <c r="C381" s="11" t="str">
        <f t="shared" si="5"/>
        <v>July</v>
      </c>
      <c r="D381" t="s">
        <v>813</v>
      </c>
      <c r="E381" t="s">
        <v>1217</v>
      </c>
      <c r="F381" t="s">
        <v>44</v>
      </c>
      <c r="G381" t="s">
        <v>37</v>
      </c>
      <c r="H381" t="s">
        <v>29</v>
      </c>
      <c r="I381" t="s">
        <v>224</v>
      </c>
      <c r="J381">
        <v>8</v>
      </c>
      <c r="K381" s="4">
        <v>185.73</v>
      </c>
      <c r="L381" s="2">
        <v>1485.84</v>
      </c>
      <c r="M381">
        <v>0.3</v>
      </c>
      <c r="N381" s="4">
        <v>263.14</v>
      </c>
      <c r="O381" t="s">
        <v>31</v>
      </c>
      <c r="P381">
        <v>2</v>
      </c>
    </row>
    <row r="382" spans="1:16" x14ac:dyDescent="0.35">
      <c r="A382" t="s">
        <v>1218</v>
      </c>
      <c r="B382" s="10" t="s">
        <v>1219</v>
      </c>
      <c r="C382" s="11" t="str">
        <f t="shared" si="5"/>
        <v>February</v>
      </c>
      <c r="D382" t="s">
        <v>413</v>
      </c>
      <c r="E382" t="s">
        <v>1220</v>
      </c>
      <c r="F382" t="s">
        <v>44</v>
      </c>
      <c r="G382" t="s">
        <v>20</v>
      </c>
      <c r="H382" t="s">
        <v>76</v>
      </c>
      <c r="I382" t="s">
        <v>119</v>
      </c>
      <c r="J382">
        <v>8</v>
      </c>
      <c r="K382" s="4">
        <v>992.97</v>
      </c>
      <c r="L382" s="2">
        <v>7943.76</v>
      </c>
      <c r="M382">
        <v>0.05</v>
      </c>
      <c r="N382" s="4">
        <v>1986.9</v>
      </c>
      <c r="O382" t="s">
        <v>23</v>
      </c>
      <c r="P382">
        <v>10</v>
      </c>
    </row>
    <row r="383" spans="1:16" x14ac:dyDescent="0.35">
      <c r="A383" t="s">
        <v>1221</v>
      </c>
      <c r="B383" s="10" t="s">
        <v>1222</v>
      </c>
      <c r="C383" s="11" t="str">
        <f t="shared" si="5"/>
        <v>September</v>
      </c>
      <c r="D383" t="s">
        <v>482</v>
      </c>
      <c r="E383" t="s">
        <v>1223</v>
      </c>
      <c r="F383" t="s">
        <v>19</v>
      </c>
      <c r="G383" t="s">
        <v>20</v>
      </c>
      <c r="H383" t="s">
        <v>29</v>
      </c>
      <c r="I383" t="s">
        <v>45</v>
      </c>
      <c r="J383">
        <v>8</v>
      </c>
      <c r="K383" s="4">
        <v>796.98</v>
      </c>
      <c r="L383" s="2">
        <v>6375.84</v>
      </c>
      <c r="M383">
        <v>0.2</v>
      </c>
      <c r="N383" s="4">
        <v>2530.6799999999998</v>
      </c>
      <c r="O383" t="s">
        <v>23</v>
      </c>
      <c r="P383">
        <v>7</v>
      </c>
    </row>
    <row r="384" spans="1:16" x14ac:dyDescent="0.35">
      <c r="A384" t="s">
        <v>1224</v>
      </c>
      <c r="B384" s="10" t="s">
        <v>1225</v>
      </c>
      <c r="C384" s="11" t="str">
        <f t="shared" si="5"/>
        <v>March</v>
      </c>
      <c r="D384" t="s">
        <v>651</v>
      </c>
      <c r="E384" t="s">
        <v>1226</v>
      </c>
      <c r="F384" t="s">
        <v>36</v>
      </c>
      <c r="G384" t="s">
        <v>20</v>
      </c>
      <c r="H384" t="s">
        <v>21</v>
      </c>
      <c r="I384" t="s">
        <v>82</v>
      </c>
      <c r="J384">
        <v>9</v>
      </c>
      <c r="K384" s="4">
        <v>941.68</v>
      </c>
      <c r="L384" s="2">
        <v>8475.1200000000008</v>
      </c>
      <c r="M384">
        <v>0.05</v>
      </c>
      <c r="N384" s="4">
        <v>2200.2199999999998</v>
      </c>
      <c r="O384" t="s">
        <v>39</v>
      </c>
      <c r="P384">
        <v>10</v>
      </c>
    </row>
    <row r="385" spans="1:16" x14ac:dyDescent="0.35">
      <c r="A385" t="s">
        <v>1227</v>
      </c>
      <c r="B385" s="10" t="s">
        <v>552</v>
      </c>
      <c r="C385" s="11" t="str">
        <f t="shared" si="5"/>
        <v>December</v>
      </c>
      <c r="D385" t="s">
        <v>314</v>
      </c>
      <c r="E385" t="s">
        <v>1228</v>
      </c>
      <c r="F385" t="s">
        <v>36</v>
      </c>
      <c r="G385" t="s">
        <v>57</v>
      </c>
      <c r="H385" t="s">
        <v>21</v>
      </c>
      <c r="I385" t="s">
        <v>38</v>
      </c>
      <c r="J385">
        <v>9</v>
      </c>
      <c r="K385" s="4">
        <v>1060.04</v>
      </c>
      <c r="L385" s="2">
        <v>9540.36</v>
      </c>
      <c r="M385">
        <v>0.15</v>
      </c>
      <c r="N385" s="4">
        <v>1282.8900000000001</v>
      </c>
      <c r="O385" t="s">
        <v>39</v>
      </c>
      <c r="P385">
        <v>6</v>
      </c>
    </row>
    <row r="386" spans="1:16" x14ac:dyDescent="0.35">
      <c r="A386" t="s">
        <v>1229</v>
      </c>
      <c r="B386" s="10" t="s">
        <v>492</v>
      </c>
      <c r="C386" s="11" t="str">
        <f t="shared" si="5"/>
        <v>September</v>
      </c>
      <c r="D386" t="s">
        <v>759</v>
      </c>
      <c r="E386" t="s">
        <v>1230</v>
      </c>
      <c r="F386" t="s">
        <v>19</v>
      </c>
      <c r="G386" t="s">
        <v>57</v>
      </c>
      <c r="H386" t="s">
        <v>76</v>
      </c>
      <c r="I386" t="s">
        <v>128</v>
      </c>
      <c r="J386">
        <v>3</v>
      </c>
      <c r="K386" s="4">
        <v>183.05</v>
      </c>
      <c r="L386" s="2">
        <v>549.15</v>
      </c>
      <c r="M386">
        <v>0.2</v>
      </c>
      <c r="N386" s="4">
        <v>118.61</v>
      </c>
      <c r="O386" t="s">
        <v>23</v>
      </c>
      <c r="P386">
        <v>9</v>
      </c>
    </row>
    <row r="387" spans="1:16" x14ac:dyDescent="0.35">
      <c r="A387" t="s">
        <v>1231</v>
      </c>
      <c r="B387" s="10" t="s">
        <v>363</v>
      </c>
      <c r="C387" s="11" t="str">
        <f t="shared" ref="C387:C450" si="6">TEXT(B387,"MMMM")</f>
        <v>June</v>
      </c>
      <c r="D387" t="s">
        <v>665</v>
      </c>
      <c r="E387" t="s">
        <v>1232</v>
      </c>
      <c r="F387" t="s">
        <v>36</v>
      </c>
      <c r="G387" t="s">
        <v>37</v>
      </c>
      <c r="H387" t="s">
        <v>21</v>
      </c>
      <c r="I387" t="s">
        <v>105</v>
      </c>
      <c r="J387">
        <v>4</v>
      </c>
      <c r="K387" s="4">
        <v>267.45999999999998</v>
      </c>
      <c r="L387" s="2">
        <v>1069.8399999999999</v>
      </c>
      <c r="M387">
        <v>0.3</v>
      </c>
      <c r="N387" s="4">
        <v>324.83999999999997</v>
      </c>
      <c r="O387" t="s">
        <v>23</v>
      </c>
      <c r="P387">
        <v>9</v>
      </c>
    </row>
    <row r="388" spans="1:16" x14ac:dyDescent="0.35">
      <c r="A388" t="s">
        <v>1233</v>
      </c>
      <c r="B388" s="10" t="s">
        <v>559</v>
      </c>
      <c r="C388" s="11" t="str">
        <f t="shared" si="6"/>
        <v>October</v>
      </c>
      <c r="D388" t="s">
        <v>472</v>
      </c>
      <c r="E388" t="s">
        <v>1234</v>
      </c>
      <c r="F388" t="s">
        <v>19</v>
      </c>
      <c r="G388" t="s">
        <v>28</v>
      </c>
      <c r="H388" t="s">
        <v>21</v>
      </c>
      <c r="I388" t="s">
        <v>38</v>
      </c>
      <c r="J388">
        <v>2</v>
      </c>
      <c r="K388" s="4">
        <v>917.71</v>
      </c>
      <c r="L388" s="2">
        <v>1835.42</v>
      </c>
      <c r="M388">
        <v>0.2</v>
      </c>
      <c r="N388" s="4">
        <v>525.45000000000005</v>
      </c>
      <c r="O388" t="s">
        <v>23</v>
      </c>
      <c r="P388">
        <v>9</v>
      </c>
    </row>
    <row r="389" spans="1:16" x14ac:dyDescent="0.35">
      <c r="A389" t="s">
        <v>1235</v>
      </c>
      <c r="B389" s="10" t="s">
        <v>1236</v>
      </c>
      <c r="C389" s="11" t="str">
        <f t="shared" si="6"/>
        <v>January</v>
      </c>
      <c r="D389" t="s">
        <v>1237</v>
      </c>
      <c r="E389" t="s">
        <v>1238</v>
      </c>
      <c r="F389" t="s">
        <v>36</v>
      </c>
      <c r="G389" t="s">
        <v>37</v>
      </c>
      <c r="H389" t="s">
        <v>76</v>
      </c>
      <c r="I389" t="s">
        <v>128</v>
      </c>
      <c r="J389">
        <v>1</v>
      </c>
      <c r="K389" s="4">
        <v>636.82000000000005</v>
      </c>
      <c r="L389" s="2">
        <v>636.82000000000005</v>
      </c>
      <c r="M389">
        <v>0</v>
      </c>
      <c r="N389" s="4">
        <v>253.23</v>
      </c>
      <c r="O389" t="s">
        <v>39</v>
      </c>
      <c r="P389">
        <v>3</v>
      </c>
    </row>
    <row r="390" spans="1:16" x14ac:dyDescent="0.35">
      <c r="A390" t="s">
        <v>1239</v>
      </c>
      <c r="B390" s="10" t="s">
        <v>1240</v>
      </c>
      <c r="C390" s="11" t="str">
        <f t="shared" si="6"/>
        <v>April</v>
      </c>
      <c r="D390" t="s">
        <v>241</v>
      </c>
      <c r="E390" t="s">
        <v>1241</v>
      </c>
      <c r="F390" t="s">
        <v>19</v>
      </c>
      <c r="G390" t="s">
        <v>20</v>
      </c>
      <c r="H390" t="s">
        <v>76</v>
      </c>
      <c r="I390" t="s">
        <v>87</v>
      </c>
      <c r="J390">
        <v>3</v>
      </c>
      <c r="K390" s="4">
        <v>1010.47</v>
      </c>
      <c r="L390" s="2">
        <v>3031.41</v>
      </c>
      <c r="M390">
        <v>0.3</v>
      </c>
      <c r="N390" s="4">
        <v>501.33</v>
      </c>
      <c r="O390" t="s">
        <v>39</v>
      </c>
      <c r="P390">
        <v>8</v>
      </c>
    </row>
    <row r="391" spans="1:16" x14ac:dyDescent="0.35">
      <c r="A391" t="s">
        <v>1242</v>
      </c>
      <c r="B391" s="10" t="s">
        <v>244</v>
      </c>
      <c r="C391" s="11" t="str">
        <f t="shared" si="6"/>
        <v>July</v>
      </c>
      <c r="D391" t="s">
        <v>444</v>
      </c>
      <c r="E391" t="s">
        <v>1243</v>
      </c>
      <c r="F391" t="s">
        <v>19</v>
      </c>
      <c r="G391" t="s">
        <v>57</v>
      </c>
      <c r="H391" t="s">
        <v>29</v>
      </c>
      <c r="I391" t="s">
        <v>100</v>
      </c>
      <c r="J391">
        <v>9</v>
      </c>
      <c r="K391" s="4">
        <v>1040.51</v>
      </c>
      <c r="L391" s="2">
        <v>9364.59</v>
      </c>
      <c r="M391">
        <v>0.3</v>
      </c>
      <c r="N391" s="4">
        <v>1908.56</v>
      </c>
      <c r="O391" t="s">
        <v>23</v>
      </c>
      <c r="P391">
        <v>1</v>
      </c>
    </row>
    <row r="392" spans="1:16" x14ac:dyDescent="0.35">
      <c r="A392" t="s">
        <v>1244</v>
      </c>
      <c r="B392" s="10" t="s">
        <v>356</v>
      </c>
      <c r="C392" s="11" t="str">
        <f t="shared" si="6"/>
        <v>October</v>
      </c>
      <c r="D392" t="s">
        <v>303</v>
      </c>
      <c r="E392" t="s">
        <v>1245</v>
      </c>
      <c r="F392" t="s">
        <v>36</v>
      </c>
      <c r="G392" t="s">
        <v>57</v>
      </c>
      <c r="H392" t="s">
        <v>76</v>
      </c>
      <c r="I392" t="s">
        <v>128</v>
      </c>
      <c r="J392">
        <v>7</v>
      </c>
      <c r="K392" s="4">
        <v>1148.9100000000001</v>
      </c>
      <c r="L392" s="2">
        <v>8042.37</v>
      </c>
      <c r="M392">
        <v>0.3</v>
      </c>
      <c r="N392" s="4">
        <v>2392.2600000000002</v>
      </c>
      <c r="O392" t="s">
        <v>31</v>
      </c>
      <c r="P392">
        <v>10</v>
      </c>
    </row>
    <row r="393" spans="1:16" x14ac:dyDescent="0.35">
      <c r="A393" t="s">
        <v>1246</v>
      </c>
      <c r="B393" s="10" t="s">
        <v>1247</v>
      </c>
      <c r="C393" s="11" t="str">
        <f t="shared" si="6"/>
        <v>April</v>
      </c>
      <c r="D393" t="s">
        <v>926</v>
      </c>
      <c r="E393" t="s">
        <v>1248</v>
      </c>
      <c r="F393" t="s">
        <v>19</v>
      </c>
      <c r="G393" t="s">
        <v>37</v>
      </c>
      <c r="H393" t="s">
        <v>76</v>
      </c>
      <c r="I393" t="s">
        <v>119</v>
      </c>
      <c r="J393">
        <v>6</v>
      </c>
      <c r="K393" s="4">
        <v>911.03</v>
      </c>
      <c r="L393" s="2">
        <v>5466.18</v>
      </c>
      <c r="M393">
        <v>0.2</v>
      </c>
      <c r="N393" s="4">
        <v>1113.44</v>
      </c>
      <c r="O393" t="s">
        <v>39</v>
      </c>
      <c r="P393">
        <v>8</v>
      </c>
    </row>
    <row r="394" spans="1:16" x14ac:dyDescent="0.35">
      <c r="A394" t="s">
        <v>1249</v>
      </c>
      <c r="B394" s="10" t="s">
        <v>991</v>
      </c>
      <c r="C394" s="11" t="str">
        <f t="shared" si="6"/>
        <v>March</v>
      </c>
      <c r="D394" t="s">
        <v>866</v>
      </c>
      <c r="E394" t="s">
        <v>1250</v>
      </c>
      <c r="F394" t="s">
        <v>36</v>
      </c>
      <c r="G394" t="s">
        <v>28</v>
      </c>
      <c r="H394" t="s">
        <v>29</v>
      </c>
      <c r="I394" t="s">
        <v>62</v>
      </c>
      <c r="J394">
        <v>2</v>
      </c>
      <c r="K394" s="4">
        <v>240.63</v>
      </c>
      <c r="L394" s="2">
        <v>481.26</v>
      </c>
      <c r="M394">
        <v>0.05</v>
      </c>
      <c r="N394" s="4">
        <v>117.03</v>
      </c>
      <c r="O394" t="s">
        <v>39</v>
      </c>
      <c r="P394">
        <v>9</v>
      </c>
    </row>
    <row r="395" spans="1:16" x14ac:dyDescent="0.35">
      <c r="A395" t="s">
        <v>1251</v>
      </c>
      <c r="B395" s="10" t="s">
        <v>236</v>
      </c>
      <c r="C395" s="11" t="str">
        <f t="shared" si="6"/>
        <v>August</v>
      </c>
      <c r="D395" t="s">
        <v>349</v>
      </c>
      <c r="E395" t="s">
        <v>1252</v>
      </c>
      <c r="F395" t="s">
        <v>36</v>
      </c>
      <c r="G395" t="s">
        <v>20</v>
      </c>
      <c r="H395" t="s">
        <v>76</v>
      </c>
      <c r="I395" t="s">
        <v>119</v>
      </c>
      <c r="J395">
        <v>3</v>
      </c>
      <c r="K395" s="4">
        <v>709.1</v>
      </c>
      <c r="L395" s="2">
        <v>2127.3000000000002</v>
      </c>
      <c r="M395">
        <v>0.1</v>
      </c>
      <c r="N395" s="4">
        <v>1048.69</v>
      </c>
      <c r="O395" t="s">
        <v>31</v>
      </c>
      <c r="P395">
        <v>6</v>
      </c>
    </row>
    <row r="396" spans="1:16" x14ac:dyDescent="0.35">
      <c r="A396" t="s">
        <v>1253</v>
      </c>
      <c r="B396" s="10" t="s">
        <v>1025</v>
      </c>
      <c r="C396" s="11" t="str">
        <f t="shared" si="6"/>
        <v>October</v>
      </c>
      <c r="D396" t="s">
        <v>736</v>
      </c>
      <c r="E396" t="s">
        <v>1254</v>
      </c>
      <c r="F396" t="s">
        <v>44</v>
      </c>
      <c r="G396" t="s">
        <v>20</v>
      </c>
      <c r="H396" t="s">
        <v>21</v>
      </c>
      <c r="I396" t="s">
        <v>22</v>
      </c>
      <c r="J396">
        <v>10</v>
      </c>
      <c r="K396" s="4">
        <v>1014.91</v>
      </c>
      <c r="L396" s="2">
        <v>10149.1</v>
      </c>
      <c r="M396">
        <v>0.1</v>
      </c>
      <c r="N396" s="4">
        <v>3231.49</v>
      </c>
      <c r="O396" t="s">
        <v>23</v>
      </c>
      <c r="P396">
        <v>6</v>
      </c>
    </row>
    <row r="397" spans="1:16" x14ac:dyDescent="0.35">
      <c r="A397" t="s">
        <v>1255</v>
      </c>
      <c r="B397" s="10" t="s">
        <v>1256</v>
      </c>
      <c r="C397" s="11" t="str">
        <f t="shared" si="6"/>
        <v>October</v>
      </c>
      <c r="D397" t="s">
        <v>122</v>
      </c>
      <c r="E397" t="s">
        <v>1257</v>
      </c>
      <c r="F397" t="s">
        <v>44</v>
      </c>
      <c r="G397" t="s">
        <v>20</v>
      </c>
      <c r="H397" t="s">
        <v>21</v>
      </c>
      <c r="I397" t="s">
        <v>105</v>
      </c>
      <c r="J397">
        <v>3</v>
      </c>
      <c r="K397" s="4">
        <v>634.32000000000005</v>
      </c>
      <c r="L397" s="2">
        <v>1902.96</v>
      </c>
      <c r="M397">
        <v>0.2</v>
      </c>
      <c r="N397" s="4">
        <v>740.25</v>
      </c>
      <c r="O397" t="s">
        <v>39</v>
      </c>
      <c r="P397">
        <v>4</v>
      </c>
    </row>
    <row r="398" spans="1:16" x14ac:dyDescent="0.35">
      <c r="A398" t="s">
        <v>1258</v>
      </c>
      <c r="B398" s="10" t="s">
        <v>488</v>
      </c>
      <c r="C398" s="11" t="str">
        <f t="shared" si="6"/>
        <v>November</v>
      </c>
      <c r="D398" t="s">
        <v>1037</v>
      </c>
      <c r="E398" t="s">
        <v>1259</v>
      </c>
      <c r="F398" t="s">
        <v>44</v>
      </c>
      <c r="G398" t="s">
        <v>20</v>
      </c>
      <c r="H398" t="s">
        <v>29</v>
      </c>
      <c r="I398" t="s">
        <v>62</v>
      </c>
      <c r="J398">
        <v>6</v>
      </c>
      <c r="K398" s="4">
        <v>410.66</v>
      </c>
      <c r="L398" s="2">
        <v>2463.96</v>
      </c>
      <c r="M398">
        <v>0.1</v>
      </c>
      <c r="N398" s="4">
        <v>1025.8900000000001</v>
      </c>
      <c r="O398" t="s">
        <v>31</v>
      </c>
      <c r="P398">
        <v>6</v>
      </c>
    </row>
    <row r="399" spans="1:16" x14ac:dyDescent="0.35">
      <c r="A399" t="s">
        <v>1260</v>
      </c>
      <c r="B399" s="10" t="s">
        <v>931</v>
      </c>
      <c r="C399" s="11" t="str">
        <f t="shared" si="6"/>
        <v>December</v>
      </c>
      <c r="D399" t="s">
        <v>712</v>
      </c>
      <c r="E399" t="s">
        <v>1261</v>
      </c>
      <c r="F399" t="s">
        <v>44</v>
      </c>
      <c r="G399" t="s">
        <v>20</v>
      </c>
      <c r="H399" t="s">
        <v>76</v>
      </c>
      <c r="I399" t="s">
        <v>119</v>
      </c>
      <c r="J399">
        <v>10</v>
      </c>
      <c r="K399" s="4">
        <v>1103.96</v>
      </c>
      <c r="L399" s="2">
        <v>11039.6</v>
      </c>
      <c r="M399">
        <v>0.05</v>
      </c>
      <c r="N399" s="4">
        <v>1745.57</v>
      </c>
      <c r="O399" t="s">
        <v>39</v>
      </c>
      <c r="P399">
        <v>5</v>
      </c>
    </row>
    <row r="400" spans="1:16" x14ac:dyDescent="0.35">
      <c r="A400" t="s">
        <v>1262</v>
      </c>
      <c r="B400" s="10" t="s">
        <v>137</v>
      </c>
      <c r="C400" s="11" t="str">
        <f t="shared" si="6"/>
        <v>September</v>
      </c>
      <c r="D400" t="s">
        <v>1263</v>
      </c>
      <c r="E400" t="s">
        <v>1264</v>
      </c>
      <c r="F400" t="s">
        <v>44</v>
      </c>
      <c r="G400" t="s">
        <v>20</v>
      </c>
      <c r="H400" t="s">
        <v>21</v>
      </c>
      <c r="I400" t="s">
        <v>38</v>
      </c>
      <c r="J400">
        <v>1</v>
      </c>
      <c r="K400" s="4">
        <v>1095.3800000000001</v>
      </c>
      <c r="L400" s="2">
        <v>1095.3800000000001</v>
      </c>
      <c r="M400">
        <v>0.1</v>
      </c>
      <c r="N400" s="4">
        <v>339.4</v>
      </c>
      <c r="O400" t="s">
        <v>39</v>
      </c>
      <c r="P400">
        <v>4</v>
      </c>
    </row>
    <row r="401" spans="1:16" x14ac:dyDescent="0.35">
      <c r="A401" t="s">
        <v>1265</v>
      </c>
      <c r="B401" s="10" t="s">
        <v>194</v>
      </c>
      <c r="C401" s="11" t="str">
        <f t="shared" si="6"/>
        <v>October</v>
      </c>
      <c r="D401" t="s">
        <v>270</v>
      </c>
      <c r="E401" t="s">
        <v>1266</v>
      </c>
      <c r="F401" t="s">
        <v>36</v>
      </c>
      <c r="G401" t="s">
        <v>20</v>
      </c>
      <c r="H401" t="s">
        <v>76</v>
      </c>
      <c r="I401" t="s">
        <v>177</v>
      </c>
      <c r="J401">
        <v>2</v>
      </c>
      <c r="K401" s="4">
        <v>1138.8900000000001</v>
      </c>
      <c r="L401" s="2">
        <v>2277.7800000000002</v>
      </c>
      <c r="M401">
        <v>0.05</v>
      </c>
      <c r="N401" s="4">
        <v>349.14</v>
      </c>
      <c r="O401" t="s">
        <v>31</v>
      </c>
      <c r="P401">
        <v>4</v>
      </c>
    </row>
    <row r="402" spans="1:16" x14ac:dyDescent="0.35">
      <c r="A402" t="s">
        <v>1267</v>
      </c>
      <c r="B402" s="10" t="s">
        <v>1153</v>
      </c>
      <c r="C402" s="11" t="str">
        <f t="shared" si="6"/>
        <v>August</v>
      </c>
      <c r="D402" t="s">
        <v>353</v>
      </c>
      <c r="E402" t="s">
        <v>1268</v>
      </c>
      <c r="F402" t="s">
        <v>36</v>
      </c>
      <c r="G402" t="s">
        <v>37</v>
      </c>
      <c r="H402" t="s">
        <v>21</v>
      </c>
      <c r="I402" t="s">
        <v>82</v>
      </c>
      <c r="J402">
        <v>2</v>
      </c>
      <c r="K402" s="4">
        <v>262.58</v>
      </c>
      <c r="L402" s="2">
        <v>525.16</v>
      </c>
      <c r="M402">
        <v>0.3</v>
      </c>
      <c r="N402" s="4">
        <v>72.989999999999995</v>
      </c>
      <c r="O402" t="s">
        <v>31</v>
      </c>
      <c r="P402">
        <v>8</v>
      </c>
    </row>
    <row r="403" spans="1:16" x14ac:dyDescent="0.35">
      <c r="A403" t="s">
        <v>1269</v>
      </c>
      <c r="B403" s="10" t="s">
        <v>562</v>
      </c>
      <c r="C403" s="11" t="str">
        <f t="shared" si="6"/>
        <v>May</v>
      </c>
      <c r="D403" t="s">
        <v>1270</v>
      </c>
      <c r="E403" t="s">
        <v>1271</v>
      </c>
      <c r="F403" t="s">
        <v>36</v>
      </c>
      <c r="G403" t="s">
        <v>37</v>
      </c>
      <c r="H403" t="s">
        <v>21</v>
      </c>
      <c r="I403" t="s">
        <v>38</v>
      </c>
      <c r="J403">
        <v>1</v>
      </c>
      <c r="K403" s="4">
        <v>123.27</v>
      </c>
      <c r="L403" s="2">
        <v>123.27</v>
      </c>
      <c r="M403">
        <v>0</v>
      </c>
      <c r="N403" s="4">
        <v>59.02</v>
      </c>
      <c r="O403" t="s">
        <v>39</v>
      </c>
      <c r="P403">
        <v>7</v>
      </c>
    </row>
    <row r="404" spans="1:16" x14ac:dyDescent="0.35">
      <c r="A404" t="s">
        <v>1272</v>
      </c>
      <c r="B404" s="10" t="s">
        <v>352</v>
      </c>
      <c r="C404" s="11" t="str">
        <f t="shared" si="6"/>
        <v>March</v>
      </c>
      <c r="D404" t="s">
        <v>270</v>
      </c>
      <c r="E404" t="s">
        <v>1273</v>
      </c>
      <c r="F404" t="s">
        <v>36</v>
      </c>
      <c r="G404" t="s">
        <v>20</v>
      </c>
      <c r="H404" t="s">
        <v>76</v>
      </c>
      <c r="I404" t="s">
        <v>128</v>
      </c>
      <c r="J404">
        <v>7</v>
      </c>
      <c r="K404" s="4">
        <v>530.97</v>
      </c>
      <c r="L404" s="2">
        <v>3716.79</v>
      </c>
      <c r="M404">
        <v>0</v>
      </c>
      <c r="N404" s="4">
        <v>1465.16</v>
      </c>
      <c r="O404" t="s">
        <v>23</v>
      </c>
      <c r="P404">
        <v>10</v>
      </c>
    </row>
    <row r="405" spans="1:16" x14ac:dyDescent="0.35">
      <c r="A405" t="s">
        <v>1274</v>
      </c>
      <c r="B405" s="10" t="s">
        <v>158</v>
      </c>
      <c r="C405" s="11" t="str">
        <f t="shared" si="6"/>
        <v>December</v>
      </c>
      <c r="D405" t="s">
        <v>395</v>
      </c>
      <c r="E405" t="s">
        <v>1275</v>
      </c>
      <c r="F405" t="s">
        <v>19</v>
      </c>
      <c r="G405" t="s">
        <v>20</v>
      </c>
      <c r="H405" t="s">
        <v>29</v>
      </c>
      <c r="I405" t="s">
        <v>62</v>
      </c>
      <c r="J405">
        <v>2</v>
      </c>
      <c r="K405" s="4">
        <v>442.09</v>
      </c>
      <c r="L405" s="2">
        <v>884.18</v>
      </c>
      <c r="M405">
        <v>0.2</v>
      </c>
      <c r="N405" s="4">
        <v>359.01</v>
      </c>
      <c r="O405" t="s">
        <v>39</v>
      </c>
      <c r="P405">
        <v>8</v>
      </c>
    </row>
    <row r="406" spans="1:16" x14ac:dyDescent="0.35">
      <c r="A406" t="s">
        <v>1276</v>
      </c>
      <c r="B406" s="10" t="s">
        <v>956</v>
      </c>
      <c r="C406" s="11" t="str">
        <f t="shared" si="6"/>
        <v>July</v>
      </c>
      <c r="D406" t="s">
        <v>152</v>
      </c>
      <c r="E406" t="s">
        <v>1277</v>
      </c>
      <c r="F406" t="s">
        <v>44</v>
      </c>
      <c r="G406" t="s">
        <v>37</v>
      </c>
      <c r="H406" t="s">
        <v>76</v>
      </c>
      <c r="I406" t="s">
        <v>128</v>
      </c>
      <c r="J406">
        <v>1</v>
      </c>
      <c r="K406" s="4">
        <v>579.30999999999995</v>
      </c>
      <c r="L406" s="2">
        <v>579.30999999999995</v>
      </c>
      <c r="M406">
        <v>0.2</v>
      </c>
      <c r="N406" s="4">
        <v>214.14</v>
      </c>
      <c r="O406" t="s">
        <v>39</v>
      </c>
      <c r="P406">
        <v>6</v>
      </c>
    </row>
    <row r="407" spans="1:16" x14ac:dyDescent="0.35">
      <c r="A407" t="s">
        <v>1278</v>
      </c>
      <c r="B407" s="10" t="s">
        <v>281</v>
      </c>
      <c r="C407" s="11" t="str">
        <f t="shared" si="6"/>
        <v>November</v>
      </c>
      <c r="D407" t="s">
        <v>1279</v>
      </c>
      <c r="E407" t="s">
        <v>1280</v>
      </c>
      <c r="F407" t="s">
        <v>19</v>
      </c>
      <c r="G407" t="s">
        <v>20</v>
      </c>
      <c r="H407" t="s">
        <v>29</v>
      </c>
      <c r="I407" t="s">
        <v>100</v>
      </c>
      <c r="J407">
        <v>9</v>
      </c>
      <c r="K407" s="4">
        <v>186.82</v>
      </c>
      <c r="L407" s="2">
        <v>1681.38</v>
      </c>
      <c r="M407">
        <v>0</v>
      </c>
      <c r="N407" s="4">
        <v>921.38</v>
      </c>
      <c r="O407" t="s">
        <v>39</v>
      </c>
      <c r="P407">
        <v>4</v>
      </c>
    </row>
    <row r="408" spans="1:16" x14ac:dyDescent="0.35">
      <c r="A408" t="s">
        <v>1281</v>
      </c>
      <c r="B408" s="10" t="s">
        <v>412</v>
      </c>
      <c r="C408" s="11" t="str">
        <f t="shared" si="6"/>
        <v>March</v>
      </c>
      <c r="D408" t="s">
        <v>175</v>
      </c>
      <c r="E408" t="s">
        <v>1282</v>
      </c>
      <c r="F408" t="s">
        <v>36</v>
      </c>
      <c r="G408" t="s">
        <v>37</v>
      </c>
      <c r="H408" t="s">
        <v>21</v>
      </c>
      <c r="I408" t="s">
        <v>38</v>
      </c>
      <c r="J408">
        <v>4</v>
      </c>
      <c r="K408" s="4">
        <v>506.93</v>
      </c>
      <c r="L408" s="2">
        <v>2027.72</v>
      </c>
      <c r="M408">
        <v>0.3</v>
      </c>
      <c r="N408" s="4">
        <v>297.25</v>
      </c>
      <c r="O408" t="s">
        <v>23</v>
      </c>
      <c r="P408">
        <v>5</v>
      </c>
    </row>
    <row r="409" spans="1:16" x14ac:dyDescent="0.35">
      <c r="A409" t="s">
        <v>1283</v>
      </c>
      <c r="B409" s="10" t="s">
        <v>125</v>
      </c>
      <c r="C409" s="11" t="str">
        <f t="shared" si="6"/>
        <v>October</v>
      </c>
      <c r="D409" t="s">
        <v>55</v>
      </c>
      <c r="E409" t="s">
        <v>1284</v>
      </c>
      <c r="F409" t="s">
        <v>19</v>
      </c>
      <c r="G409" t="s">
        <v>20</v>
      </c>
      <c r="H409" t="s">
        <v>29</v>
      </c>
      <c r="I409" t="s">
        <v>30</v>
      </c>
      <c r="J409">
        <v>3</v>
      </c>
      <c r="K409" s="4">
        <v>811.75</v>
      </c>
      <c r="L409" s="2">
        <v>2435.25</v>
      </c>
      <c r="M409">
        <v>0.2</v>
      </c>
      <c r="N409" s="4">
        <v>407.37</v>
      </c>
      <c r="O409" t="s">
        <v>39</v>
      </c>
      <c r="P409">
        <v>2</v>
      </c>
    </row>
    <row r="410" spans="1:16" x14ac:dyDescent="0.35">
      <c r="A410" t="s">
        <v>1285</v>
      </c>
      <c r="B410" s="10" t="s">
        <v>589</v>
      </c>
      <c r="C410" s="11" t="str">
        <f t="shared" si="6"/>
        <v>July</v>
      </c>
      <c r="D410" t="s">
        <v>436</v>
      </c>
      <c r="E410" t="s">
        <v>1286</v>
      </c>
      <c r="F410" t="s">
        <v>19</v>
      </c>
      <c r="G410" t="s">
        <v>37</v>
      </c>
      <c r="H410" t="s">
        <v>76</v>
      </c>
      <c r="I410" t="s">
        <v>77</v>
      </c>
      <c r="J410">
        <v>4</v>
      </c>
      <c r="K410" s="4">
        <v>876.2</v>
      </c>
      <c r="L410" s="2">
        <v>3504.8</v>
      </c>
      <c r="M410">
        <v>0.15</v>
      </c>
      <c r="N410" s="4">
        <v>504.61</v>
      </c>
      <c r="O410" t="s">
        <v>31</v>
      </c>
      <c r="P410">
        <v>5</v>
      </c>
    </row>
    <row r="411" spans="1:16" x14ac:dyDescent="0.35">
      <c r="A411" t="s">
        <v>1287</v>
      </c>
      <c r="B411" s="10" t="s">
        <v>450</v>
      </c>
      <c r="C411" s="11" t="str">
        <f t="shared" si="6"/>
        <v>December</v>
      </c>
      <c r="D411" t="s">
        <v>324</v>
      </c>
      <c r="E411" t="s">
        <v>1288</v>
      </c>
      <c r="F411" t="s">
        <v>19</v>
      </c>
      <c r="G411" t="s">
        <v>37</v>
      </c>
      <c r="H411" t="s">
        <v>21</v>
      </c>
      <c r="I411" t="s">
        <v>22</v>
      </c>
      <c r="J411">
        <v>4</v>
      </c>
      <c r="K411" s="4">
        <v>394.99</v>
      </c>
      <c r="L411" s="2">
        <v>1579.96</v>
      </c>
      <c r="M411">
        <v>0.15</v>
      </c>
      <c r="N411" s="4">
        <v>562.25</v>
      </c>
      <c r="O411" t="s">
        <v>23</v>
      </c>
      <c r="P411">
        <v>10</v>
      </c>
    </row>
    <row r="412" spans="1:16" x14ac:dyDescent="0.35">
      <c r="A412" t="s">
        <v>1289</v>
      </c>
      <c r="B412" s="10" t="s">
        <v>1290</v>
      </c>
      <c r="C412" s="11" t="str">
        <f t="shared" si="6"/>
        <v>April</v>
      </c>
      <c r="D412" t="s">
        <v>286</v>
      </c>
      <c r="E412" t="s">
        <v>1291</v>
      </c>
      <c r="F412" t="s">
        <v>19</v>
      </c>
      <c r="G412" t="s">
        <v>28</v>
      </c>
      <c r="H412" t="s">
        <v>76</v>
      </c>
      <c r="I412" t="s">
        <v>87</v>
      </c>
      <c r="J412">
        <v>7</v>
      </c>
      <c r="K412" s="4">
        <v>218.99</v>
      </c>
      <c r="L412" s="2">
        <v>1532.93</v>
      </c>
      <c r="M412">
        <v>0.1</v>
      </c>
      <c r="N412" s="4">
        <v>622.95000000000005</v>
      </c>
      <c r="O412" t="s">
        <v>39</v>
      </c>
      <c r="P412">
        <v>6</v>
      </c>
    </row>
    <row r="413" spans="1:16" x14ac:dyDescent="0.35">
      <c r="A413" t="s">
        <v>1292</v>
      </c>
      <c r="B413" s="10" t="s">
        <v>1293</v>
      </c>
      <c r="C413" s="11" t="str">
        <f t="shared" si="6"/>
        <v>June</v>
      </c>
      <c r="D413" t="s">
        <v>231</v>
      </c>
      <c r="E413" t="s">
        <v>1294</v>
      </c>
      <c r="F413" t="s">
        <v>19</v>
      </c>
      <c r="G413" t="s">
        <v>20</v>
      </c>
      <c r="H413" t="s">
        <v>29</v>
      </c>
      <c r="I413" t="s">
        <v>62</v>
      </c>
      <c r="J413">
        <v>6</v>
      </c>
      <c r="K413" s="4">
        <v>1055.9100000000001</v>
      </c>
      <c r="L413" s="2">
        <v>6335.46</v>
      </c>
      <c r="M413">
        <v>0.15</v>
      </c>
      <c r="N413" s="4">
        <v>2002.5</v>
      </c>
      <c r="O413" t="s">
        <v>31</v>
      </c>
      <c r="P413">
        <v>10</v>
      </c>
    </row>
    <row r="414" spans="1:16" x14ac:dyDescent="0.35">
      <c r="A414" t="s">
        <v>1295</v>
      </c>
      <c r="B414" s="10" t="s">
        <v>637</v>
      </c>
      <c r="C414" s="11" t="str">
        <f t="shared" si="6"/>
        <v>November</v>
      </c>
      <c r="D414" t="s">
        <v>266</v>
      </c>
      <c r="E414" t="s">
        <v>1296</v>
      </c>
      <c r="F414" t="s">
        <v>19</v>
      </c>
      <c r="G414" t="s">
        <v>20</v>
      </c>
      <c r="H414" t="s">
        <v>29</v>
      </c>
      <c r="I414" t="s">
        <v>110</v>
      </c>
      <c r="J414">
        <v>3</v>
      </c>
      <c r="K414" s="4">
        <v>1071.73</v>
      </c>
      <c r="L414" s="2">
        <v>3215.19</v>
      </c>
      <c r="M414">
        <v>0.05</v>
      </c>
      <c r="N414" s="4">
        <v>1358.32</v>
      </c>
      <c r="O414" t="s">
        <v>31</v>
      </c>
      <c r="P414">
        <v>9</v>
      </c>
    </row>
    <row r="415" spans="1:16" x14ac:dyDescent="0.35">
      <c r="A415" t="s">
        <v>1297</v>
      </c>
      <c r="B415" s="10" t="s">
        <v>869</v>
      </c>
      <c r="C415" s="11" t="str">
        <f t="shared" si="6"/>
        <v>January</v>
      </c>
      <c r="D415" t="s">
        <v>526</v>
      </c>
      <c r="E415" t="s">
        <v>1298</v>
      </c>
      <c r="F415" t="s">
        <v>44</v>
      </c>
      <c r="G415" t="s">
        <v>28</v>
      </c>
      <c r="H415" t="s">
        <v>21</v>
      </c>
      <c r="I415" t="s">
        <v>22</v>
      </c>
      <c r="J415">
        <v>10</v>
      </c>
      <c r="K415" s="4">
        <v>703.1</v>
      </c>
      <c r="L415" s="2">
        <v>7031</v>
      </c>
      <c r="M415">
        <v>0.2</v>
      </c>
      <c r="N415" s="4">
        <v>2614.9499999999998</v>
      </c>
      <c r="O415" t="s">
        <v>23</v>
      </c>
      <c r="P415">
        <v>3</v>
      </c>
    </row>
    <row r="416" spans="1:16" x14ac:dyDescent="0.35">
      <c r="A416" t="s">
        <v>1299</v>
      </c>
      <c r="B416" s="10" t="s">
        <v>768</v>
      </c>
      <c r="C416" s="11" t="str">
        <f t="shared" si="6"/>
        <v>May</v>
      </c>
      <c r="D416" t="s">
        <v>1010</v>
      </c>
      <c r="E416" t="s">
        <v>1300</v>
      </c>
      <c r="F416" t="s">
        <v>44</v>
      </c>
      <c r="G416" t="s">
        <v>20</v>
      </c>
      <c r="H416" t="s">
        <v>76</v>
      </c>
      <c r="I416" t="s">
        <v>128</v>
      </c>
      <c r="J416">
        <v>4</v>
      </c>
      <c r="K416" s="4">
        <v>1071.9000000000001</v>
      </c>
      <c r="L416" s="2">
        <v>4287.6000000000004</v>
      </c>
      <c r="M416">
        <v>0.2</v>
      </c>
      <c r="N416" s="4">
        <v>880.53</v>
      </c>
      <c r="O416" t="s">
        <v>39</v>
      </c>
      <c r="P416">
        <v>6</v>
      </c>
    </row>
    <row r="417" spans="1:16" x14ac:dyDescent="0.35">
      <c r="A417" t="s">
        <v>1301</v>
      </c>
      <c r="B417" s="10" t="s">
        <v>1302</v>
      </c>
      <c r="C417" s="11" t="str">
        <f t="shared" si="6"/>
        <v>September</v>
      </c>
      <c r="D417" t="s">
        <v>574</v>
      </c>
      <c r="E417" t="s">
        <v>1303</v>
      </c>
      <c r="F417" t="s">
        <v>44</v>
      </c>
      <c r="G417" t="s">
        <v>37</v>
      </c>
      <c r="H417" t="s">
        <v>21</v>
      </c>
      <c r="I417" t="s">
        <v>22</v>
      </c>
      <c r="J417">
        <v>4</v>
      </c>
      <c r="K417" s="4">
        <v>1020.62</v>
      </c>
      <c r="L417" s="2">
        <v>4082.48</v>
      </c>
      <c r="M417">
        <v>0.2</v>
      </c>
      <c r="N417" s="4">
        <v>902.51</v>
      </c>
      <c r="O417" t="s">
        <v>31</v>
      </c>
      <c r="P417">
        <v>10</v>
      </c>
    </row>
    <row r="418" spans="1:16" x14ac:dyDescent="0.35">
      <c r="A418" t="s">
        <v>1304</v>
      </c>
      <c r="B418" s="10" t="s">
        <v>1305</v>
      </c>
      <c r="C418" s="11" t="str">
        <f t="shared" si="6"/>
        <v>September</v>
      </c>
      <c r="D418" t="s">
        <v>769</v>
      </c>
      <c r="E418" t="s">
        <v>1306</v>
      </c>
      <c r="F418" t="s">
        <v>36</v>
      </c>
      <c r="G418" t="s">
        <v>57</v>
      </c>
      <c r="H418" t="s">
        <v>21</v>
      </c>
      <c r="I418" t="s">
        <v>105</v>
      </c>
      <c r="J418">
        <v>8</v>
      </c>
      <c r="K418" s="4">
        <v>1128.23</v>
      </c>
      <c r="L418" s="2">
        <v>9025.84</v>
      </c>
      <c r="M418">
        <v>0</v>
      </c>
      <c r="N418" s="4">
        <v>4174.2</v>
      </c>
      <c r="O418" t="s">
        <v>39</v>
      </c>
      <c r="P418">
        <v>4</v>
      </c>
    </row>
    <row r="419" spans="1:16" x14ac:dyDescent="0.35">
      <c r="A419" t="s">
        <v>1307</v>
      </c>
      <c r="B419" s="10" t="s">
        <v>647</v>
      </c>
      <c r="C419" s="11" t="str">
        <f t="shared" si="6"/>
        <v>August</v>
      </c>
      <c r="D419" t="s">
        <v>367</v>
      </c>
      <c r="E419" t="s">
        <v>1308</v>
      </c>
      <c r="F419" t="s">
        <v>36</v>
      </c>
      <c r="G419" t="s">
        <v>57</v>
      </c>
      <c r="H419" t="s">
        <v>29</v>
      </c>
      <c r="I419" t="s">
        <v>62</v>
      </c>
      <c r="J419">
        <v>4</v>
      </c>
      <c r="K419" s="4">
        <v>631.1</v>
      </c>
      <c r="L419" s="2">
        <v>2524.4</v>
      </c>
      <c r="M419">
        <v>0.1</v>
      </c>
      <c r="N419" s="4">
        <v>896.89</v>
      </c>
      <c r="O419" t="s">
        <v>31</v>
      </c>
      <c r="P419">
        <v>9</v>
      </c>
    </row>
    <row r="420" spans="1:16" x14ac:dyDescent="0.35">
      <c r="A420" t="s">
        <v>1309</v>
      </c>
      <c r="B420" s="10" t="s">
        <v>664</v>
      </c>
      <c r="C420" s="11" t="str">
        <f t="shared" si="6"/>
        <v>December</v>
      </c>
      <c r="D420" t="s">
        <v>866</v>
      </c>
      <c r="E420" t="s">
        <v>1310</v>
      </c>
      <c r="F420" t="s">
        <v>44</v>
      </c>
      <c r="G420" t="s">
        <v>20</v>
      </c>
      <c r="H420" t="s">
        <v>21</v>
      </c>
      <c r="I420" t="s">
        <v>38</v>
      </c>
      <c r="J420">
        <v>5</v>
      </c>
      <c r="K420" s="4">
        <v>702.79</v>
      </c>
      <c r="L420" s="2">
        <v>3513.95</v>
      </c>
      <c r="M420">
        <v>0.2</v>
      </c>
      <c r="N420" s="4">
        <v>1350.65</v>
      </c>
      <c r="O420" t="s">
        <v>23</v>
      </c>
      <c r="P420">
        <v>5</v>
      </c>
    </row>
    <row r="421" spans="1:16" x14ac:dyDescent="0.35">
      <c r="A421" t="s">
        <v>1311</v>
      </c>
      <c r="B421" s="10" t="s">
        <v>475</v>
      </c>
      <c r="C421" s="11" t="str">
        <f t="shared" si="6"/>
        <v>September</v>
      </c>
      <c r="D421" t="s">
        <v>602</v>
      </c>
      <c r="E421" t="s">
        <v>1312</v>
      </c>
      <c r="F421" t="s">
        <v>36</v>
      </c>
      <c r="G421" t="s">
        <v>37</v>
      </c>
      <c r="H421" t="s">
        <v>76</v>
      </c>
      <c r="I421" t="s">
        <v>119</v>
      </c>
      <c r="J421">
        <v>9</v>
      </c>
      <c r="K421" s="4">
        <v>498.89</v>
      </c>
      <c r="L421" s="2">
        <v>4490.01</v>
      </c>
      <c r="M421">
        <v>0.1</v>
      </c>
      <c r="N421" s="4">
        <v>1435.59</v>
      </c>
      <c r="O421" t="s">
        <v>39</v>
      </c>
      <c r="P421">
        <v>3</v>
      </c>
    </row>
    <row r="422" spans="1:16" x14ac:dyDescent="0.35">
      <c r="A422" t="s">
        <v>1313</v>
      </c>
      <c r="B422" s="10" t="s">
        <v>985</v>
      </c>
      <c r="C422" s="11" t="str">
        <f t="shared" si="6"/>
        <v>March</v>
      </c>
      <c r="D422" t="s">
        <v>870</v>
      </c>
      <c r="E422" t="s">
        <v>1314</v>
      </c>
      <c r="F422" t="s">
        <v>19</v>
      </c>
      <c r="G422" t="s">
        <v>20</v>
      </c>
      <c r="H422" t="s">
        <v>29</v>
      </c>
      <c r="I422" t="s">
        <v>30</v>
      </c>
      <c r="J422">
        <v>9</v>
      </c>
      <c r="K422" s="4">
        <v>779.3</v>
      </c>
      <c r="L422" s="2">
        <v>7013.7</v>
      </c>
      <c r="M422">
        <v>0.05</v>
      </c>
      <c r="N422" s="4">
        <v>3264.24</v>
      </c>
      <c r="O422" t="s">
        <v>23</v>
      </c>
      <c r="P422">
        <v>4</v>
      </c>
    </row>
    <row r="423" spans="1:16" x14ac:dyDescent="0.35">
      <c r="A423" t="s">
        <v>1315</v>
      </c>
      <c r="B423" s="10" t="s">
        <v>370</v>
      </c>
      <c r="C423" s="11" t="str">
        <f t="shared" si="6"/>
        <v>October</v>
      </c>
      <c r="D423" t="s">
        <v>175</v>
      </c>
      <c r="E423" t="s">
        <v>1316</v>
      </c>
      <c r="F423" t="s">
        <v>19</v>
      </c>
      <c r="G423" t="s">
        <v>28</v>
      </c>
      <c r="H423" t="s">
        <v>76</v>
      </c>
      <c r="I423" t="s">
        <v>87</v>
      </c>
      <c r="J423">
        <v>2</v>
      </c>
      <c r="K423" s="4">
        <v>588.19000000000005</v>
      </c>
      <c r="L423" s="2">
        <v>1176.3800000000001</v>
      </c>
      <c r="M423">
        <v>0.15</v>
      </c>
      <c r="N423" s="4">
        <v>358.36</v>
      </c>
      <c r="O423" t="s">
        <v>31</v>
      </c>
      <c r="P423">
        <v>4</v>
      </c>
    </row>
    <row r="424" spans="1:16" x14ac:dyDescent="0.35">
      <c r="A424" t="s">
        <v>1317</v>
      </c>
      <c r="B424" s="10" t="s">
        <v>170</v>
      </c>
      <c r="C424" s="11" t="str">
        <f t="shared" si="6"/>
        <v>January</v>
      </c>
      <c r="D424" t="s">
        <v>627</v>
      </c>
      <c r="E424" t="s">
        <v>1318</v>
      </c>
      <c r="F424" t="s">
        <v>36</v>
      </c>
      <c r="G424" t="s">
        <v>20</v>
      </c>
      <c r="H424" t="s">
        <v>29</v>
      </c>
      <c r="I424" t="s">
        <v>224</v>
      </c>
      <c r="J424">
        <v>10</v>
      </c>
      <c r="K424" s="4">
        <v>718.97</v>
      </c>
      <c r="L424" s="2">
        <v>7189.7</v>
      </c>
      <c r="M424">
        <v>0.05</v>
      </c>
      <c r="N424" s="4">
        <v>2036.66</v>
      </c>
      <c r="O424" t="s">
        <v>31</v>
      </c>
      <c r="P424">
        <v>5</v>
      </c>
    </row>
    <row r="425" spans="1:16" x14ac:dyDescent="0.35">
      <c r="A425" t="s">
        <v>1319</v>
      </c>
      <c r="B425" s="10" t="s">
        <v>1320</v>
      </c>
      <c r="C425" s="11" t="str">
        <f t="shared" si="6"/>
        <v>December</v>
      </c>
      <c r="D425" t="s">
        <v>210</v>
      </c>
      <c r="E425" t="s">
        <v>1321</v>
      </c>
      <c r="F425" t="s">
        <v>36</v>
      </c>
      <c r="G425" t="s">
        <v>37</v>
      </c>
      <c r="H425" t="s">
        <v>29</v>
      </c>
      <c r="I425" t="s">
        <v>100</v>
      </c>
      <c r="J425">
        <v>7</v>
      </c>
      <c r="K425" s="4">
        <v>727.24</v>
      </c>
      <c r="L425" s="2">
        <v>5090.68</v>
      </c>
      <c r="M425">
        <v>0.2</v>
      </c>
      <c r="N425" s="4">
        <v>1201.2</v>
      </c>
      <c r="O425" t="s">
        <v>39</v>
      </c>
      <c r="P425">
        <v>10</v>
      </c>
    </row>
    <row r="426" spans="1:16" x14ac:dyDescent="0.35">
      <c r="A426" t="s">
        <v>1322</v>
      </c>
      <c r="B426" s="10" t="s">
        <v>68</v>
      </c>
      <c r="C426" s="11" t="str">
        <f t="shared" si="6"/>
        <v>October</v>
      </c>
      <c r="D426" t="s">
        <v>461</v>
      </c>
      <c r="E426" t="s">
        <v>1323</v>
      </c>
      <c r="F426" t="s">
        <v>36</v>
      </c>
      <c r="G426" t="s">
        <v>57</v>
      </c>
      <c r="H426" t="s">
        <v>76</v>
      </c>
      <c r="I426" t="s">
        <v>128</v>
      </c>
      <c r="J426">
        <v>3</v>
      </c>
      <c r="K426" s="4">
        <v>278.85000000000002</v>
      </c>
      <c r="L426" s="2">
        <v>836.55</v>
      </c>
      <c r="M426">
        <v>0.15</v>
      </c>
      <c r="N426" s="4">
        <v>220.19</v>
      </c>
      <c r="O426" t="s">
        <v>31</v>
      </c>
      <c r="P426">
        <v>6</v>
      </c>
    </row>
    <row r="427" spans="1:16" x14ac:dyDescent="0.35">
      <c r="A427" t="s">
        <v>1324</v>
      </c>
      <c r="B427" s="10" t="s">
        <v>1219</v>
      </c>
      <c r="C427" s="11" t="str">
        <f t="shared" si="6"/>
        <v>February</v>
      </c>
      <c r="D427" t="s">
        <v>964</v>
      </c>
      <c r="E427" t="s">
        <v>1325</v>
      </c>
      <c r="F427" t="s">
        <v>36</v>
      </c>
      <c r="G427" t="s">
        <v>28</v>
      </c>
      <c r="H427" t="s">
        <v>76</v>
      </c>
      <c r="I427" t="s">
        <v>177</v>
      </c>
      <c r="J427">
        <v>10</v>
      </c>
      <c r="K427" s="4">
        <v>101.23</v>
      </c>
      <c r="L427" s="2">
        <v>1012.3</v>
      </c>
      <c r="M427">
        <v>0.15</v>
      </c>
      <c r="N427" s="4">
        <v>340.58</v>
      </c>
      <c r="O427" t="s">
        <v>31</v>
      </c>
      <c r="P427">
        <v>10</v>
      </c>
    </row>
    <row r="428" spans="1:16" x14ac:dyDescent="0.35">
      <c r="A428" t="s">
        <v>1326</v>
      </c>
      <c r="B428" s="10" t="s">
        <v>1327</v>
      </c>
      <c r="C428" s="11" t="str">
        <f t="shared" si="6"/>
        <v>September</v>
      </c>
      <c r="D428" t="s">
        <v>85</v>
      </c>
      <c r="E428" t="s">
        <v>1328</v>
      </c>
      <c r="F428" t="s">
        <v>36</v>
      </c>
      <c r="G428" t="s">
        <v>20</v>
      </c>
      <c r="H428" t="s">
        <v>29</v>
      </c>
      <c r="I428" t="s">
        <v>224</v>
      </c>
      <c r="J428">
        <v>8</v>
      </c>
      <c r="K428" s="4">
        <v>1083.9000000000001</v>
      </c>
      <c r="L428" s="2">
        <v>8671.2000000000007</v>
      </c>
      <c r="M428">
        <v>0.2</v>
      </c>
      <c r="N428" s="4">
        <v>3707.01</v>
      </c>
      <c r="O428" t="s">
        <v>39</v>
      </c>
      <c r="P428">
        <v>3</v>
      </c>
    </row>
    <row r="429" spans="1:16" x14ac:dyDescent="0.35">
      <c r="A429" t="s">
        <v>1329</v>
      </c>
      <c r="B429" s="10" t="s">
        <v>310</v>
      </c>
      <c r="C429" s="11" t="str">
        <f t="shared" si="6"/>
        <v>September</v>
      </c>
      <c r="D429" t="s">
        <v>1031</v>
      </c>
      <c r="E429" t="s">
        <v>1330</v>
      </c>
      <c r="F429" t="s">
        <v>44</v>
      </c>
      <c r="G429" t="s">
        <v>20</v>
      </c>
      <c r="H429" t="s">
        <v>21</v>
      </c>
      <c r="I429" t="s">
        <v>71</v>
      </c>
      <c r="J429">
        <v>1</v>
      </c>
      <c r="K429" s="4">
        <v>1078.42</v>
      </c>
      <c r="L429" s="2">
        <v>1078.42</v>
      </c>
      <c r="M429">
        <v>0.3</v>
      </c>
      <c r="N429" s="4">
        <v>219.15</v>
      </c>
      <c r="O429" t="s">
        <v>23</v>
      </c>
      <c r="P429">
        <v>9</v>
      </c>
    </row>
    <row r="430" spans="1:16" x14ac:dyDescent="0.35">
      <c r="A430" t="s">
        <v>1331</v>
      </c>
      <c r="B430" s="10" t="s">
        <v>426</v>
      </c>
      <c r="C430" s="11" t="str">
        <f t="shared" si="6"/>
        <v>December</v>
      </c>
      <c r="D430" t="s">
        <v>890</v>
      </c>
      <c r="E430" t="s">
        <v>1332</v>
      </c>
      <c r="F430" t="s">
        <v>36</v>
      </c>
      <c r="G430" t="s">
        <v>28</v>
      </c>
      <c r="H430" t="s">
        <v>76</v>
      </c>
      <c r="I430" t="s">
        <v>119</v>
      </c>
      <c r="J430">
        <v>8</v>
      </c>
      <c r="K430" s="4">
        <v>951.68</v>
      </c>
      <c r="L430" s="2">
        <v>7613.44</v>
      </c>
      <c r="M430">
        <v>0.15</v>
      </c>
      <c r="N430" s="4">
        <v>2651.94</v>
      </c>
      <c r="O430" t="s">
        <v>31</v>
      </c>
      <c r="P430">
        <v>5</v>
      </c>
    </row>
    <row r="431" spans="1:16" x14ac:dyDescent="0.35">
      <c r="A431" t="s">
        <v>1333</v>
      </c>
      <c r="B431" s="10" t="s">
        <v>1334</v>
      </c>
      <c r="C431" s="11" t="str">
        <f t="shared" si="6"/>
        <v>April</v>
      </c>
      <c r="D431" t="s">
        <v>482</v>
      </c>
      <c r="E431" t="s">
        <v>1335</v>
      </c>
      <c r="F431" t="s">
        <v>19</v>
      </c>
      <c r="G431" t="s">
        <v>20</v>
      </c>
      <c r="H431" t="s">
        <v>76</v>
      </c>
      <c r="I431" t="s">
        <v>119</v>
      </c>
      <c r="J431">
        <v>2</v>
      </c>
      <c r="K431" s="4">
        <v>354.25</v>
      </c>
      <c r="L431" s="2">
        <v>708.5</v>
      </c>
      <c r="M431">
        <v>0.2</v>
      </c>
      <c r="N431" s="4">
        <v>219.09</v>
      </c>
      <c r="O431" t="s">
        <v>23</v>
      </c>
      <c r="P431">
        <v>9</v>
      </c>
    </row>
    <row r="432" spans="1:16" x14ac:dyDescent="0.35">
      <c r="A432" t="s">
        <v>1336</v>
      </c>
      <c r="B432" s="10" t="s">
        <v>1337</v>
      </c>
      <c r="C432" s="11" t="str">
        <f t="shared" si="6"/>
        <v>June</v>
      </c>
      <c r="D432" t="s">
        <v>1073</v>
      </c>
      <c r="E432" t="s">
        <v>1338</v>
      </c>
      <c r="F432" t="s">
        <v>44</v>
      </c>
      <c r="G432" t="s">
        <v>20</v>
      </c>
      <c r="H432" t="s">
        <v>29</v>
      </c>
      <c r="I432" t="s">
        <v>100</v>
      </c>
      <c r="J432">
        <v>1</v>
      </c>
      <c r="K432" s="4">
        <v>462.54</v>
      </c>
      <c r="L432" s="2">
        <v>462.54</v>
      </c>
      <c r="M432">
        <v>0.05</v>
      </c>
      <c r="N432" s="4">
        <v>120.79</v>
      </c>
      <c r="O432" t="s">
        <v>31</v>
      </c>
      <c r="P432">
        <v>7</v>
      </c>
    </row>
    <row r="433" spans="1:16" x14ac:dyDescent="0.35">
      <c r="A433" t="s">
        <v>1339</v>
      </c>
      <c r="B433" s="10" t="s">
        <v>672</v>
      </c>
      <c r="C433" s="11" t="str">
        <f t="shared" si="6"/>
        <v>July</v>
      </c>
      <c r="D433" t="s">
        <v>618</v>
      </c>
      <c r="E433" t="s">
        <v>1340</v>
      </c>
      <c r="F433" t="s">
        <v>44</v>
      </c>
      <c r="G433" t="s">
        <v>28</v>
      </c>
      <c r="H433" t="s">
        <v>21</v>
      </c>
      <c r="I433" t="s">
        <v>71</v>
      </c>
      <c r="J433">
        <v>5</v>
      </c>
      <c r="K433" s="4">
        <v>328.34</v>
      </c>
      <c r="L433" s="2">
        <v>1641.7</v>
      </c>
      <c r="M433">
        <v>0.2</v>
      </c>
      <c r="N433" s="4">
        <v>499.83</v>
      </c>
      <c r="O433" t="s">
        <v>31</v>
      </c>
      <c r="P433">
        <v>7</v>
      </c>
    </row>
    <row r="434" spans="1:16" x14ac:dyDescent="0.35">
      <c r="A434" t="s">
        <v>1341</v>
      </c>
      <c r="B434" s="10" t="s">
        <v>1342</v>
      </c>
      <c r="C434" s="11" t="str">
        <f t="shared" si="6"/>
        <v>May</v>
      </c>
      <c r="D434" t="s">
        <v>324</v>
      </c>
      <c r="E434" t="s">
        <v>1343</v>
      </c>
      <c r="F434" t="s">
        <v>19</v>
      </c>
      <c r="G434" t="s">
        <v>57</v>
      </c>
      <c r="H434" t="s">
        <v>21</v>
      </c>
      <c r="I434" t="s">
        <v>71</v>
      </c>
      <c r="J434">
        <v>8</v>
      </c>
      <c r="K434" s="4">
        <v>230.89</v>
      </c>
      <c r="L434" s="2">
        <v>1847.12</v>
      </c>
      <c r="M434">
        <v>0.2</v>
      </c>
      <c r="N434" s="4">
        <v>484.74</v>
      </c>
      <c r="O434" t="s">
        <v>23</v>
      </c>
      <c r="P434">
        <v>7</v>
      </c>
    </row>
    <row r="435" spans="1:16" x14ac:dyDescent="0.35">
      <c r="A435" t="s">
        <v>1344</v>
      </c>
      <c r="B435" s="10" t="s">
        <v>565</v>
      </c>
      <c r="C435" s="11" t="str">
        <f t="shared" si="6"/>
        <v>March</v>
      </c>
      <c r="D435" t="s">
        <v>126</v>
      </c>
      <c r="E435" t="s">
        <v>1345</v>
      </c>
      <c r="F435" t="s">
        <v>36</v>
      </c>
      <c r="G435" t="s">
        <v>28</v>
      </c>
      <c r="H435" t="s">
        <v>21</v>
      </c>
      <c r="I435" t="s">
        <v>105</v>
      </c>
      <c r="J435">
        <v>2</v>
      </c>
      <c r="K435" s="4">
        <v>902.42</v>
      </c>
      <c r="L435" s="2">
        <v>1804.84</v>
      </c>
      <c r="M435">
        <v>0.15</v>
      </c>
      <c r="N435" s="4">
        <v>363.21</v>
      </c>
      <c r="O435" t="s">
        <v>39</v>
      </c>
      <c r="P435">
        <v>9</v>
      </c>
    </row>
    <row r="436" spans="1:16" x14ac:dyDescent="0.35">
      <c r="A436" t="s">
        <v>1346</v>
      </c>
      <c r="B436" s="10" t="s">
        <v>381</v>
      </c>
      <c r="C436" s="11" t="str">
        <f t="shared" si="6"/>
        <v>February</v>
      </c>
      <c r="D436" t="s">
        <v>218</v>
      </c>
      <c r="E436" t="s">
        <v>1347</v>
      </c>
      <c r="F436" t="s">
        <v>44</v>
      </c>
      <c r="G436" t="s">
        <v>28</v>
      </c>
      <c r="H436" t="s">
        <v>21</v>
      </c>
      <c r="I436" t="s">
        <v>22</v>
      </c>
      <c r="J436">
        <v>3</v>
      </c>
      <c r="K436" s="4">
        <v>479.14</v>
      </c>
      <c r="L436" s="2">
        <v>1437.42</v>
      </c>
      <c r="M436">
        <v>0.3</v>
      </c>
      <c r="N436" s="4">
        <v>551.28</v>
      </c>
      <c r="O436" t="s">
        <v>31</v>
      </c>
      <c r="P436">
        <v>2</v>
      </c>
    </row>
    <row r="437" spans="1:16" x14ac:dyDescent="0.35">
      <c r="A437" t="s">
        <v>1348</v>
      </c>
      <c r="B437" s="10" t="s">
        <v>1349</v>
      </c>
      <c r="C437" s="11" t="str">
        <f t="shared" si="6"/>
        <v>July</v>
      </c>
      <c r="D437" t="s">
        <v>479</v>
      </c>
      <c r="E437" t="s">
        <v>1350</v>
      </c>
      <c r="F437" t="s">
        <v>19</v>
      </c>
      <c r="G437" t="s">
        <v>57</v>
      </c>
      <c r="H437" t="s">
        <v>76</v>
      </c>
      <c r="I437" t="s">
        <v>119</v>
      </c>
      <c r="J437">
        <v>6</v>
      </c>
      <c r="K437" s="4">
        <v>114.45</v>
      </c>
      <c r="L437" s="2">
        <v>686.7</v>
      </c>
      <c r="M437">
        <v>0</v>
      </c>
      <c r="N437" s="4">
        <v>178.68</v>
      </c>
      <c r="O437" t="s">
        <v>23</v>
      </c>
      <c r="P437">
        <v>10</v>
      </c>
    </row>
    <row r="438" spans="1:16" x14ac:dyDescent="0.35">
      <c r="A438" t="s">
        <v>1351</v>
      </c>
      <c r="B438" s="10" t="s">
        <v>1352</v>
      </c>
      <c r="C438" s="11" t="str">
        <f t="shared" si="6"/>
        <v>September</v>
      </c>
      <c r="D438" t="s">
        <v>391</v>
      </c>
      <c r="E438" t="s">
        <v>1353</v>
      </c>
      <c r="F438" t="s">
        <v>36</v>
      </c>
      <c r="G438" t="s">
        <v>20</v>
      </c>
      <c r="H438" t="s">
        <v>29</v>
      </c>
      <c r="I438" t="s">
        <v>224</v>
      </c>
      <c r="J438">
        <v>8</v>
      </c>
      <c r="K438" s="4">
        <v>537.99</v>
      </c>
      <c r="L438" s="2">
        <v>4303.92</v>
      </c>
      <c r="M438">
        <v>0.05</v>
      </c>
      <c r="N438" s="4">
        <v>857.7</v>
      </c>
      <c r="O438" t="s">
        <v>23</v>
      </c>
      <c r="P438">
        <v>9</v>
      </c>
    </row>
    <row r="439" spans="1:16" x14ac:dyDescent="0.35">
      <c r="A439" t="s">
        <v>1354</v>
      </c>
      <c r="B439" s="10" t="s">
        <v>517</v>
      </c>
      <c r="C439" s="11" t="str">
        <f t="shared" si="6"/>
        <v>December</v>
      </c>
      <c r="D439" t="s">
        <v>583</v>
      </c>
      <c r="E439" t="s">
        <v>1355</v>
      </c>
      <c r="F439" t="s">
        <v>36</v>
      </c>
      <c r="G439" t="s">
        <v>20</v>
      </c>
      <c r="H439" t="s">
        <v>21</v>
      </c>
      <c r="I439" t="s">
        <v>105</v>
      </c>
      <c r="J439">
        <v>10</v>
      </c>
      <c r="K439" s="4">
        <v>219.99</v>
      </c>
      <c r="L439" s="2">
        <v>2199.9</v>
      </c>
      <c r="M439">
        <v>0</v>
      </c>
      <c r="N439" s="4">
        <v>893.39</v>
      </c>
      <c r="O439" t="s">
        <v>39</v>
      </c>
      <c r="P439">
        <v>7</v>
      </c>
    </row>
    <row r="440" spans="1:16" x14ac:dyDescent="0.35">
      <c r="A440" t="s">
        <v>1356</v>
      </c>
      <c r="B440" s="10" t="s">
        <v>47</v>
      </c>
      <c r="C440" s="11" t="str">
        <f t="shared" si="6"/>
        <v>December</v>
      </c>
      <c r="D440" t="s">
        <v>48</v>
      </c>
      <c r="E440" t="s">
        <v>1357</v>
      </c>
      <c r="F440" t="s">
        <v>36</v>
      </c>
      <c r="G440" t="s">
        <v>57</v>
      </c>
      <c r="H440" t="s">
        <v>76</v>
      </c>
      <c r="I440" t="s">
        <v>128</v>
      </c>
      <c r="J440">
        <v>7</v>
      </c>
      <c r="K440" s="4">
        <v>711.57</v>
      </c>
      <c r="L440" s="2">
        <v>4980.99</v>
      </c>
      <c r="M440">
        <v>0.2</v>
      </c>
      <c r="N440" s="4">
        <v>2167.14</v>
      </c>
      <c r="O440" t="s">
        <v>23</v>
      </c>
      <c r="P440">
        <v>9</v>
      </c>
    </row>
    <row r="441" spans="1:16" x14ac:dyDescent="0.35">
      <c r="A441" t="s">
        <v>1358</v>
      </c>
      <c r="B441" s="10" t="s">
        <v>1145</v>
      </c>
      <c r="C441" s="11" t="str">
        <f t="shared" si="6"/>
        <v>April</v>
      </c>
      <c r="D441" t="s">
        <v>222</v>
      </c>
      <c r="E441" t="s">
        <v>1359</v>
      </c>
      <c r="F441" t="s">
        <v>44</v>
      </c>
      <c r="G441" t="s">
        <v>20</v>
      </c>
      <c r="H441" t="s">
        <v>21</v>
      </c>
      <c r="I441" t="s">
        <v>38</v>
      </c>
      <c r="J441">
        <v>6</v>
      </c>
      <c r="K441" s="4">
        <v>1156.68</v>
      </c>
      <c r="L441" s="2">
        <v>6940.08</v>
      </c>
      <c r="M441">
        <v>0.1</v>
      </c>
      <c r="N441" s="4">
        <v>2869.96</v>
      </c>
      <c r="O441" t="s">
        <v>39</v>
      </c>
      <c r="P441">
        <v>3</v>
      </c>
    </row>
    <row r="442" spans="1:16" x14ac:dyDescent="0.35">
      <c r="A442" t="s">
        <v>1360</v>
      </c>
      <c r="B442" s="10" t="s">
        <v>1361</v>
      </c>
      <c r="C442" s="11" t="str">
        <f t="shared" si="6"/>
        <v>March</v>
      </c>
      <c r="D442" t="s">
        <v>341</v>
      </c>
      <c r="E442" t="s">
        <v>1362</v>
      </c>
      <c r="F442" t="s">
        <v>44</v>
      </c>
      <c r="G442" t="s">
        <v>57</v>
      </c>
      <c r="H442" t="s">
        <v>76</v>
      </c>
      <c r="I442" t="s">
        <v>177</v>
      </c>
      <c r="J442">
        <v>2</v>
      </c>
      <c r="K442" s="4">
        <v>679.18</v>
      </c>
      <c r="L442" s="2">
        <v>1358.36</v>
      </c>
      <c r="M442">
        <v>0.2</v>
      </c>
      <c r="N442" s="4">
        <v>469.77</v>
      </c>
      <c r="O442" t="s">
        <v>23</v>
      </c>
      <c r="P442">
        <v>8</v>
      </c>
    </row>
    <row r="443" spans="1:16" x14ac:dyDescent="0.35">
      <c r="A443" t="s">
        <v>1363</v>
      </c>
      <c r="B443" s="10" t="s">
        <v>722</v>
      </c>
      <c r="C443" s="11" t="str">
        <f t="shared" si="6"/>
        <v>August</v>
      </c>
      <c r="D443" t="s">
        <v>80</v>
      </c>
      <c r="E443" t="s">
        <v>1364</v>
      </c>
      <c r="F443" t="s">
        <v>44</v>
      </c>
      <c r="G443" t="s">
        <v>20</v>
      </c>
      <c r="H443" t="s">
        <v>76</v>
      </c>
      <c r="I443" t="s">
        <v>177</v>
      </c>
      <c r="J443">
        <v>8</v>
      </c>
      <c r="K443" s="4">
        <v>928.56</v>
      </c>
      <c r="L443" s="2">
        <v>7428.48</v>
      </c>
      <c r="M443">
        <v>0.1</v>
      </c>
      <c r="N443" s="4">
        <v>1106.5</v>
      </c>
      <c r="O443" t="s">
        <v>39</v>
      </c>
      <c r="P443">
        <v>2</v>
      </c>
    </row>
    <row r="444" spans="1:16" x14ac:dyDescent="0.35">
      <c r="A444" t="s">
        <v>1365</v>
      </c>
      <c r="B444" s="10" t="s">
        <v>401</v>
      </c>
      <c r="C444" s="11" t="str">
        <f t="shared" si="6"/>
        <v>April</v>
      </c>
      <c r="D444" t="s">
        <v>60</v>
      </c>
      <c r="E444" t="s">
        <v>1366</v>
      </c>
      <c r="F444" t="s">
        <v>44</v>
      </c>
      <c r="G444" t="s">
        <v>57</v>
      </c>
      <c r="H444" t="s">
        <v>76</v>
      </c>
      <c r="I444" t="s">
        <v>77</v>
      </c>
      <c r="J444">
        <v>7</v>
      </c>
      <c r="K444" s="4">
        <v>767.72</v>
      </c>
      <c r="L444" s="2">
        <v>5374.04</v>
      </c>
      <c r="M444">
        <v>0.05</v>
      </c>
      <c r="N444" s="4">
        <v>1425.59</v>
      </c>
      <c r="O444" t="s">
        <v>23</v>
      </c>
      <c r="P444">
        <v>9</v>
      </c>
    </row>
    <row r="445" spans="1:16" x14ac:dyDescent="0.35">
      <c r="A445" t="s">
        <v>1367</v>
      </c>
      <c r="B445" s="10" t="s">
        <v>1134</v>
      </c>
      <c r="C445" s="11" t="str">
        <f t="shared" si="6"/>
        <v>June</v>
      </c>
      <c r="D445" t="s">
        <v>266</v>
      </c>
      <c r="E445" t="s">
        <v>1368</v>
      </c>
      <c r="F445" t="s">
        <v>19</v>
      </c>
      <c r="G445" t="s">
        <v>37</v>
      </c>
      <c r="H445" t="s">
        <v>29</v>
      </c>
      <c r="I445" t="s">
        <v>62</v>
      </c>
      <c r="J445">
        <v>5</v>
      </c>
      <c r="K445" s="4">
        <v>312.94</v>
      </c>
      <c r="L445" s="2">
        <v>1564.7</v>
      </c>
      <c r="M445">
        <v>0</v>
      </c>
      <c r="N445" s="4">
        <v>610.9</v>
      </c>
      <c r="O445" t="s">
        <v>39</v>
      </c>
      <c r="P445">
        <v>6</v>
      </c>
    </row>
    <row r="446" spans="1:16" x14ac:dyDescent="0.35">
      <c r="A446" t="s">
        <v>1369</v>
      </c>
      <c r="B446" s="10" t="s">
        <v>121</v>
      </c>
      <c r="C446" s="11" t="str">
        <f t="shared" si="6"/>
        <v>April</v>
      </c>
      <c r="D446" t="s">
        <v>822</v>
      </c>
      <c r="E446" t="s">
        <v>1370</v>
      </c>
      <c r="F446" t="s">
        <v>19</v>
      </c>
      <c r="G446" t="s">
        <v>37</v>
      </c>
      <c r="H446" t="s">
        <v>76</v>
      </c>
      <c r="I446" t="s">
        <v>119</v>
      </c>
      <c r="J446">
        <v>10</v>
      </c>
      <c r="K446" s="4">
        <v>337.51</v>
      </c>
      <c r="L446" s="2">
        <v>3375.1</v>
      </c>
      <c r="M446">
        <v>0.3</v>
      </c>
      <c r="N446" s="4">
        <v>653.86</v>
      </c>
      <c r="O446" t="s">
        <v>31</v>
      </c>
      <c r="P446">
        <v>4</v>
      </c>
    </row>
    <row r="447" spans="1:16" x14ac:dyDescent="0.35">
      <c r="A447" t="s">
        <v>1371</v>
      </c>
      <c r="B447" s="10" t="s">
        <v>589</v>
      </c>
      <c r="C447" s="11" t="str">
        <f t="shared" si="6"/>
        <v>July</v>
      </c>
      <c r="D447" t="s">
        <v>839</v>
      </c>
      <c r="E447" t="s">
        <v>1372</v>
      </c>
      <c r="F447" t="s">
        <v>36</v>
      </c>
      <c r="G447" t="s">
        <v>20</v>
      </c>
      <c r="H447" t="s">
        <v>76</v>
      </c>
      <c r="I447" t="s">
        <v>119</v>
      </c>
      <c r="J447">
        <v>4</v>
      </c>
      <c r="K447" s="4">
        <v>259.26</v>
      </c>
      <c r="L447" s="2">
        <v>1037.04</v>
      </c>
      <c r="M447">
        <v>0.05</v>
      </c>
      <c r="N447" s="4">
        <v>212.27</v>
      </c>
      <c r="O447" t="s">
        <v>31</v>
      </c>
      <c r="P447">
        <v>8</v>
      </c>
    </row>
    <row r="448" spans="1:16" x14ac:dyDescent="0.35">
      <c r="A448" t="s">
        <v>1373</v>
      </c>
      <c r="B448" s="10" t="s">
        <v>1337</v>
      </c>
      <c r="C448" s="11" t="str">
        <f t="shared" si="6"/>
        <v>June</v>
      </c>
      <c r="D448" t="s">
        <v>1201</v>
      </c>
      <c r="E448" t="s">
        <v>1374</v>
      </c>
      <c r="F448" t="s">
        <v>19</v>
      </c>
      <c r="G448" t="s">
        <v>57</v>
      </c>
      <c r="H448" t="s">
        <v>21</v>
      </c>
      <c r="I448" t="s">
        <v>22</v>
      </c>
      <c r="J448">
        <v>9</v>
      </c>
      <c r="K448" s="4">
        <v>1150.43</v>
      </c>
      <c r="L448" s="2">
        <v>10353.870000000001</v>
      </c>
      <c r="M448">
        <v>0.15</v>
      </c>
      <c r="N448" s="4">
        <v>3533.71</v>
      </c>
      <c r="O448" t="s">
        <v>39</v>
      </c>
      <c r="P448">
        <v>3</v>
      </c>
    </row>
    <row r="449" spans="1:16" x14ac:dyDescent="0.35">
      <c r="A449" t="s">
        <v>1375</v>
      </c>
      <c r="B449" s="10" t="s">
        <v>586</v>
      </c>
      <c r="C449" s="11" t="str">
        <f t="shared" si="6"/>
        <v>September</v>
      </c>
      <c r="D449" t="s">
        <v>74</v>
      </c>
      <c r="E449" t="s">
        <v>1376</v>
      </c>
      <c r="F449" t="s">
        <v>44</v>
      </c>
      <c r="G449" t="s">
        <v>20</v>
      </c>
      <c r="H449" t="s">
        <v>21</v>
      </c>
      <c r="I449" t="s">
        <v>38</v>
      </c>
      <c r="J449">
        <v>7</v>
      </c>
      <c r="K449" s="4">
        <v>282.07</v>
      </c>
      <c r="L449" s="2">
        <v>1974.49</v>
      </c>
      <c r="M449">
        <v>0.2</v>
      </c>
      <c r="N449" s="4">
        <v>787.75</v>
      </c>
      <c r="O449" t="s">
        <v>23</v>
      </c>
      <c r="P449">
        <v>6</v>
      </c>
    </row>
    <row r="450" spans="1:16" x14ac:dyDescent="0.35">
      <c r="A450" t="s">
        <v>1377</v>
      </c>
      <c r="B450" s="10" t="s">
        <v>1337</v>
      </c>
      <c r="C450" s="11" t="str">
        <f t="shared" si="6"/>
        <v>June</v>
      </c>
      <c r="D450" t="s">
        <v>318</v>
      </c>
      <c r="E450" t="s">
        <v>1378</v>
      </c>
      <c r="F450" t="s">
        <v>36</v>
      </c>
      <c r="G450" t="s">
        <v>20</v>
      </c>
      <c r="H450" t="s">
        <v>76</v>
      </c>
      <c r="I450" t="s">
        <v>119</v>
      </c>
      <c r="J450">
        <v>8</v>
      </c>
      <c r="K450" s="4">
        <v>1172.28</v>
      </c>
      <c r="L450" s="2">
        <v>9378.24</v>
      </c>
      <c r="M450">
        <v>0.3</v>
      </c>
      <c r="N450" s="4">
        <v>2249.86</v>
      </c>
      <c r="O450" t="s">
        <v>23</v>
      </c>
      <c r="P450">
        <v>4</v>
      </c>
    </row>
    <row r="451" spans="1:16" x14ac:dyDescent="0.35">
      <c r="A451" t="s">
        <v>1379</v>
      </c>
      <c r="B451" s="10" t="s">
        <v>1380</v>
      </c>
      <c r="C451" s="11" t="str">
        <f t="shared" ref="C451:C514" si="7">TEXT(B451,"MMMM")</f>
        <v>April</v>
      </c>
      <c r="D451" t="s">
        <v>736</v>
      </c>
      <c r="E451" t="s">
        <v>1381</v>
      </c>
      <c r="F451" t="s">
        <v>44</v>
      </c>
      <c r="G451" t="s">
        <v>37</v>
      </c>
      <c r="H451" t="s">
        <v>76</v>
      </c>
      <c r="I451" t="s">
        <v>177</v>
      </c>
      <c r="J451">
        <v>2</v>
      </c>
      <c r="K451" s="4">
        <v>404.01</v>
      </c>
      <c r="L451" s="2">
        <v>808.02</v>
      </c>
      <c r="M451">
        <v>0.2</v>
      </c>
      <c r="N451" s="4">
        <v>132.69</v>
      </c>
      <c r="O451" t="s">
        <v>39</v>
      </c>
      <c r="P451">
        <v>8</v>
      </c>
    </row>
    <row r="452" spans="1:16" x14ac:dyDescent="0.35">
      <c r="A452" t="s">
        <v>1382</v>
      </c>
      <c r="B452" s="10" t="s">
        <v>624</v>
      </c>
      <c r="C452" s="11" t="str">
        <f t="shared" si="7"/>
        <v>December</v>
      </c>
      <c r="D452" t="s">
        <v>241</v>
      </c>
      <c r="E452" t="s">
        <v>1383</v>
      </c>
      <c r="F452" t="s">
        <v>44</v>
      </c>
      <c r="G452" t="s">
        <v>57</v>
      </c>
      <c r="H452" t="s">
        <v>21</v>
      </c>
      <c r="I452" t="s">
        <v>38</v>
      </c>
      <c r="J452">
        <v>6</v>
      </c>
      <c r="K452" s="4">
        <v>237.02</v>
      </c>
      <c r="L452" s="2">
        <v>1422.12</v>
      </c>
      <c r="M452">
        <v>0.15</v>
      </c>
      <c r="N452" s="4">
        <v>563.04</v>
      </c>
      <c r="O452" t="s">
        <v>39</v>
      </c>
      <c r="P452">
        <v>5</v>
      </c>
    </row>
    <row r="453" spans="1:16" x14ac:dyDescent="0.35">
      <c r="A453" t="s">
        <v>1384</v>
      </c>
      <c r="B453" s="10" t="s">
        <v>149</v>
      </c>
      <c r="C453" s="11" t="str">
        <f t="shared" si="7"/>
        <v>February</v>
      </c>
      <c r="D453" t="s">
        <v>658</v>
      </c>
      <c r="E453" t="s">
        <v>1385</v>
      </c>
      <c r="F453" t="s">
        <v>44</v>
      </c>
      <c r="G453" t="s">
        <v>37</v>
      </c>
      <c r="H453" t="s">
        <v>76</v>
      </c>
      <c r="I453" t="s">
        <v>119</v>
      </c>
      <c r="J453">
        <v>10</v>
      </c>
      <c r="K453" s="4">
        <v>174.74</v>
      </c>
      <c r="L453" s="2">
        <v>1747.4</v>
      </c>
      <c r="M453">
        <v>0.2</v>
      </c>
      <c r="N453" s="4">
        <v>385.26</v>
      </c>
      <c r="O453" t="s">
        <v>23</v>
      </c>
      <c r="P453">
        <v>7</v>
      </c>
    </row>
    <row r="454" spans="1:16" x14ac:dyDescent="0.35">
      <c r="A454" t="s">
        <v>1386</v>
      </c>
      <c r="B454" s="10" t="s">
        <v>1387</v>
      </c>
      <c r="C454" s="11" t="str">
        <f t="shared" si="7"/>
        <v>January</v>
      </c>
      <c r="D454" t="s">
        <v>856</v>
      </c>
      <c r="E454" t="s">
        <v>1388</v>
      </c>
      <c r="F454" t="s">
        <v>44</v>
      </c>
      <c r="G454" t="s">
        <v>28</v>
      </c>
      <c r="H454" t="s">
        <v>76</v>
      </c>
      <c r="I454" t="s">
        <v>119</v>
      </c>
      <c r="J454">
        <v>3</v>
      </c>
      <c r="K454" s="4">
        <v>964.04</v>
      </c>
      <c r="L454" s="2">
        <v>2892.12</v>
      </c>
      <c r="M454">
        <v>0.3</v>
      </c>
      <c r="N454" s="4">
        <v>992.36</v>
      </c>
      <c r="O454" t="s">
        <v>31</v>
      </c>
      <c r="P454">
        <v>9</v>
      </c>
    </row>
    <row r="455" spans="1:16" x14ac:dyDescent="0.35">
      <c r="A455" t="s">
        <v>1389</v>
      </c>
      <c r="B455" s="10" t="s">
        <v>775</v>
      </c>
      <c r="C455" s="11" t="str">
        <f t="shared" si="7"/>
        <v>January</v>
      </c>
      <c r="D455" t="s">
        <v>510</v>
      </c>
      <c r="E455" t="s">
        <v>1390</v>
      </c>
      <c r="F455" t="s">
        <v>36</v>
      </c>
      <c r="G455" t="s">
        <v>37</v>
      </c>
      <c r="H455" t="s">
        <v>21</v>
      </c>
      <c r="I455" t="s">
        <v>38</v>
      </c>
      <c r="J455">
        <v>8</v>
      </c>
      <c r="K455" s="4">
        <v>374.04</v>
      </c>
      <c r="L455" s="2">
        <v>2992.32</v>
      </c>
      <c r="M455">
        <v>0.2</v>
      </c>
      <c r="N455" s="4">
        <v>494.57</v>
      </c>
      <c r="O455" t="s">
        <v>31</v>
      </c>
      <c r="P455">
        <v>4</v>
      </c>
    </row>
    <row r="456" spans="1:16" x14ac:dyDescent="0.35">
      <c r="A456" t="s">
        <v>1391</v>
      </c>
      <c r="B456" s="10" t="s">
        <v>1392</v>
      </c>
      <c r="C456" s="11" t="str">
        <f t="shared" si="7"/>
        <v>July</v>
      </c>
      <c r="D456" t="s">
        <v>542</v>
      </c>
      <c r="E456" t="s">
        <v>1393</v>
      </c>
      <c r="F456" t="s">
        <v>19</v>
      </c>
      <c r="G456" t="s">
        <v>57</v>
      </c>
      <c r="H456" t="s">
        <v>76</v>
      </c>
      <c r="I456" t="s">
        <v>128</v>
      </c>
      <c r="J456">
        <v>2</v>
      </c>
      <c r="K456" s="4">
        <v>550.83000000000004</v>
      </c>
      <c r="L456" s="2">
        <v>1101.6600000000001</v>
      </c>
      <c r="M456">
        <v>0.1</v>
      </c>
      <c r="N456" s="4">
        <v>442.3</v>
      </c>
      <c r="O456" t="s">
        <v>39</v>
      </c>
      <c r="P456">
        <v>1</v>
      </c>
    </row>
    <row r="457" spans="1:16" x14ac:dyDescent="0.35">
      <c r="A457" t="s">
        <v>1394</v>
      </c>
      <c r="B457" s="10" t="s">
        <v>329</v>
      </c>
      <c r="C457" s="11" t="str">
        <f t="shared" si="7"/>
        <v>October</v>
      </c>
      <c r="D457" t="s">
        <v>937</v>
      </c>
      <c r="E457" t="s">
        <v>1395</v>
      </c>
      <c r="F457" t="s">
        <v>19</v>
      </c>
      <c r="G457" t="s">
        <v>37</v>
      </c>
      <c r="H457" t="s">
        <v>76</v>
      </c>
      <c r="I457" t="s">
        <v>77</v>
      </c>
      <c r="J457">
        <v>6</v>
      </c>
      <c r="K457" s="4">
        <v>1043.49</v>
      </c>
      <c r="L457" s="2">
        <v>6260.94</v>
      </c>
      <c r="M457">
        <v>0.2</v>
      </c>
      <c r="N457" s="4">
        <v>2356.1999999999998</v>
      </c>
      <c r="O457" t="s">
        <v>39</v>
      </c>
      <c r="P457">
        <v>6</v>
      </c>
    </row>
    <row r="458" spans="1:16" x14ac:dyDescent="0.35">
      <c r="A458" t="s">
        <v>1396</v>
      </c>
      <c r="B458" s="10" t="s">
        <v>1397</v>
      </c>
      <c r="C458" s="11" t="str">
        <f t="shared" si="7"/>
        <v>July</v>
      </c>
      <c r="D458" t="s">
        <v>479</v>
      </c>
      <c r="E458" t="s">
        <v>1398</v>
      </c>
      <c r="F458" t="s">
        <v>44</v>
      </c>
      <c r="G458" t="s">
        <v>28</v>
      </c>
      <c r="H458" t="s">
        <v>76</v>
      </c>
      <c r="I458" t="s">
        <v>177</v>
      </c>
      <c r="J458">
        <v>8</v>
      </c>
      <c r="K458" s="4">
        <v>934.2</v>
      </c>
      <c r="L458" s="2">
        <v>7473.6</v>
      </c>
      <c r="M458">
        <v>0.15</v>
      </c>
      <c r="N458" s="4">
        <v>1233.33</v>
      </c>
      <c r="O458" t="s">
        <v>23</v>
      </c>
      <c r="P458">
        <v>3</v>
      </c>
    </row>
    <row r="459" spans="1:16" x14ac:dyDescent="0.35">
      <c r="A459" t="s">
        <v>1399</v>
      </c>
      <c r="B459" s="10" t="s">
        <v>1400</v>
      </c>
      <c r="C459" s="11" t="str">
        <f t="shared" si="7"/>
        <v>February</v>
      </c>
      <c r="D459" t="s">
        <v>138</v>
      </c>
      <c r="E459" t="s">
        <v>1401</v>
      </c>
      <c r="F459" t="s">
        <v>36</v>
      </c>
      <c r="G459" t="s">
        <v>57</v>
      </c>
      <c r="H459" t="s">
        <v>29</v>
      </c>
      <c r="I459" t="s">
        <v>62</v>
      </c>
      <c r="J459">
        <v>6</v>
      </c>
      <c r="K459" s="4">
        <v>517.74</v>
      </c>
      <c r="L459" s="2">
        <v>3106.44</v>
      </c>
      <c r="M459">
        <v>0.2</v>
      </c>
      <c r="N459" s="4">
        <v>798.59</v>
      </c>
      <c r="O459" t="s">
        <v>31</v>
      </c>
      <c r="P459">
        <v>6</v>
      </c>
    </row>
    <row r="460" spans="1:16" x14ac:dyDescent="0.35">
      <c r="A460" t="s">
        <v>1402</v>
      </c>
      <c r="B460" s="10" t="s">
        <v>454</v>
      </c>
      <c r="C460" s="11" t="str">
        <f t="shared" si="7"/>
        <v>August</v>
      </c>
      <c r="D460" t="s">
        <v>90</v>
      </c>
      <c r="E460" t="s">
        <v>1403</v>
      </c>
      <c r="F460" t="s">
        <v>44</v>
      </c>
      <c r="G460" t="s">
        <v>28</v>
      </c>
      <c r="H460" t="s">
        <v>76</v>
      </c>
      <c r="I460" t="s">
        <v>87</v>
      </c>
      <c r="J460">
        <v>5</v>
      </c>
      <c r="K460" s="4">
        <v>734.35</v>
      </c>
      <c r="L460" s="2">
        <v>3671.75</v>
      </c>
      <c r="M460">
        <v>0.15</v>
      </c>
      <c r="N460" s="4">
        <v>1377.92</v>
      </c>
      <c r="O460" t="s">
        <v>39</v>
      </c>
      <c r="P460">
        <v>3</v>
      </c>
    </row>
    <row r="461" spans="1:16" x14ac:dyDescent="0.35">
      <c r="A461" t="s">
        <v>1404</v>
      </c>
      <c r="B461" s="10" t="s">
        <v>624</v>
      </c>
      <c r="C461" s="11" t="str">
        <f t="shared" si="7"/>
        <v>December</v>
      </c>
      <c r="D461" t="s">
        <v>417</v>
      </c>
      <c r="E461" t="s">
        <v>1405</v>
      </c>
      <c r="F461" t="s">
        <v>36</v>
      </c>
      <c r="G461" t="s">
        <v>37</v>
      </c>
      <c r="H461" t="s">
        <v>29</v>
      </c>
      <c r="I461" t="s">
        <v>30</v>
      </c>
      <c r="J461">
        <v>3</v>
      </c>
      <c r="K461" s="4">
        <v>878.77</v>
      </c>
      <c r="L461" s="2">
        <v>2636.31</v>
      </c>
      <c r="M461">
        <v>0.3</v>
      </c>
      <c r="N461" s="4">
        <v>829.22</v>
      </c>
      <c r="O461" t="s">
        <v>31</v>
      </c>
      <c r="P461">
        <v>7</v>
      </c>
    </row>
    <row r="462" spans="1:16" x14ac:dyDescent="0.35">
      <c r="A462" t="s">
        <v>1406</v>
      </c>
      <c r="B462" s="10" t="s">
        <v>1131</v>
      </c>
      <c r="C462" s="11" t="str">
        <f t="shared" si="7"/>
        <v>January</v>
      </c>
      <c r="D462" t="s">
        <v>553</v>
      </c>
      <c r="E462" t="s">
        <v>1407</v>
      </c>
      <c r="F462" t="s">
        <v>44</v>
      </c>
      <c r="G462" t="s">
        <v>20</v>
      </c>
      <c r="H462" t="s">
        <v>29</v>
      </c>
      <c r="I462" t="s">
        <v>30</v>
      </c>
      <c r="J462">
        <v>2</v>
      </c>
      <c r="K462" s="4">
        <v>1125.42</v>
      </c>
      <c r="L462" s="2">
        <v>2250.84</v>
      </c>
      <c r="M462">
        <v>0.15</v>
      </c>
      <c r="N462" s="4">
        <v>632.55999999999995</v>
      </c>
      <c r="O462" t="s">
        <v>31</v>
      </c>
      <c r="P462">
        <v>5</v>
      </c>
    </row>
    <row r="463" spans="1:16" x14ac:dyDescent="0.35">
      <c r="A463" t="s">
        <v>1408</v>
      </c>
      <c r="B463" s="10" t="s">
        <v>1409</v>
      </c>
      <c r="C463" s="11" t="str">
        <f t="shared" si="7"/>
        <v>May</v>
      </c>
      <c r="D463" t="s">
        <v>1410</v>
      </c>
      <c r="E463" t="s">
        <v>1411</v>
      </c>
      <c r="F463" t="s">
        <v>44</v>
      </c>
      <c r="G463" t="s">
        <v>28</v>
      </c>
      <c r="H463" t="s">
        <v>21</v>
      </c>
      <c r="I463" t="s">
        <v>105</v>
      </c>
      <c r="J463">
        <v>2</v>
      </c>
      <c r="K463" s="4">
        <v>792.7</v>
      </c>
      <c r="L463" s="2">
        <v>1585.4</v>
      </c>
      <c r="M463">
        <v>0.15</v>
      </c>
      <c r="N463" s="4">
        <v>574.41</v>
      </c>
      <c r="O463" t="s">
        <v>23</v>
      </c>
      <c r="P463">
        <v>3</v>
      </c>
    </row>
    <row r="464" spans="1:16" x14ac:dyDescent="0.35">
      <c r="A464" t="s">
        <v>1412</v>
      </c>
      <c r="B464" s="10" t="s">
        <v>457</v>
      </c>
      <c r="C464" s="11" t="str">
        <f t="shared" si="7"/>
        <v>June</v>
      </c>
      <c r="D464" t="s">
        <v>214</v>
      </c>
      <c r="E464" t="s">
        <v>1413</v>
      </c>
      <c r="F464" t="s">
        <v>44</v>
      </c>
      <c r="G464" t="s">
        <v>57</v>
      </c>
      <c r="H464" t="s">
        <v>29</v>
      </c>
      <c r="I464" t="s">
        <v>100</v>
      </c>
      <c r="J464">
        <v>3</v>
      </c>
      <c r="K464" s="4">
        <v>53.71</v>
      </c>
      <c r="L464" s="2">
        <v>161.13</v>
      </c>
      <c r="M464">
        <v>0.3</v>
      </c>
      <c r="N464" s="4">
        <v>45.94</v>
      </c>
      <c r="O464" t="s">
        <v>23</v>
      </c>
      <c r="P464">
        <v>8</v>
      </c>
    </row>
    <row r="465" spans="1:16" x14ac:dyDescent="0.35">
      <c r="A465" t="s">
        <v>1414</v>
      </c>
      <c r="B465" s="10" t="s">
        <v>1415</v>
      </c>
      <c r="C465" s="11" t="str">
        <f t="shared" si="7"/>
        <v>November</v>
      </c>
      <c r="D465" t="s">
        <v>307</v>
      </c>
      <c r="E465" t="s">
        <v>1416</v>
      </c>
      <c r="F465" t="s">
        <v>44</v>
      </c>
      <c r="G465" t="s">
        <v>57</v>
      </c>
      <c r="H465" t="s">
        <v>29</v>
      </c>
      <c r="I465" t="s">
        <v>62</v>
      </c>
      <c r="J465">
        <v>9</v>
      </c>
      <c r="K465" s="4">
        <v>228.9</v>
      </c>
      <c r="L465" s="2">
        <v>2060.1</v>
      </c>
      <c r="M465">
        <v>0.2</v>
      </c>
      <c r="N465" s="4">
        <v>605.48</v>
      </c>
      <c r="O465" t="s">
        <v>39</v>
      </c>
      <c r="P465">
        <v>8</v>
      </c>
    </row>
    <row r="466" spans="1:16" x14ac:dyDescent="0.35">
      <c r="A466" t="s">
        <v>1417</v>
      </c>
      <c r="B466" s="10" t="s">
        <v>1418</v>
      </c>
      <c r="C466" s="11" t="str">
        <f t="shared" si="7"/>
        <v>March</v>
      </c>
      <c r="D466" t="s">
        <v>395</v>
      </c>
      <c r="E466" t="s">
        <v>1419</v>
      </c>
      <c r="F466" t="s">
        <v>36</v>
      </c>
      <c r="G466" t="s">
        <v>20</v>
      </c>
      <c r="H466" t="s">
        <v>21</v>
      </c>
      <c r="I466" t="s">
        <v>105</v>
      </c>
      <c r="J466">
        <v>2</v>
      </c>
      <c r="K466" s="4">
        <v>541.4</v>
      </c>
      <c r="L466" s="2">
        <v>1082.8</v>
      </c>
      <c r="M466">
        <v>0.1</v>
      </c>
      <c r="N466" s="4">
        <v>375.31</v>
      </c>
      <c r="O466" t="s">
        <v>23</v>
      </c>
      <c r="P466">
        <v>3</v>
      </c>
    </row>
    <row r="467" spans="1:16" x14ac:dyDescent="0.35">
      <c r="A467" t="s">
        <v>1420</v>
      </c>
      <c r="B467" s="10" t="s">
        <v>1421</v>
      </c>
      <c r="C467" s="11" t="str">
        <f t="shared" si="7"/>
        <v>September</v>
      </c>
      <c r="D467" t="s">
        <v>759</v>
      </c>
      <c r="E467" t="s">
        <v>1422</v>
      </c>
      <c r="F467" t="s">
        <v>36</v>
      </c>
      <c r="G467" t="s">
        <v>28</v>
      </c>
      <c r="H467" t="s">
        <v>76</v>
      </c>
      <c r="I467" t="s">
        <v>87</v>
      </c>
      <c r="J467">
        <v>8</v>
      </c>
      <c r="K467" s="4">
        <v>651.41999999999996</v>
      </c>
      <c r="L467" s="2">
        <v>5211.3599999999997</v>
      </c>
      <c r="M467">
        <v>0.3</v>
      </c>
      <c r="N467" s="4">
        <v>660.88</v>
      </c>
      <c r="O467" t="s">
        <v>39</v>
      </c>
      <c r="P467">
        <v>10</v>
      </c>
    </row>
    <row r="468" spans="1:16" x14ac:dyDescent="0.35">
      <c r="A468" t="s">
        <v>1423</v>
      </c>
      <c r="B468" s="10" t="s">
        <v>1053</v>
      </c>
      <c r="C468" s="11" t="str">
        <f t="shared" si="7"/>
        <v>August</v>
      </c>
      <c r="D468" t="s">
        <v>510</v>
      </c>
      <c r="E468" t="s">
        <v>1424</v>
      </c>
      <c r="F468" t="s">
        <v>36</v>
      </c>
      <c r="G468" t="s">
        <v>37</v>
      </c>
      <c r="H468" t="s">
        <v>29</v>
      </c>
      <c r="I468" t="s">
        <v>30</v>
      </c>
      <c r="J468">
        <v>9</v>
      </c>
      <c r="K468" s="4">
        <v>460.9</v>
      </c>
      <c r="L468" s="2">
        <v>4148.1000000000004</v>
      </c>
      <c r="M468">
        <v>0.15</v>
      </c>
      <c r="N468" s="4">
        <v>695.08</v>
      </c>
      <c r="O468" t="s">
        <v>23</v>
      </c>
      <c r="P468">
        <v>7</v>
      </c>
    </row>
    <row r="469" spans="1:16" x14ac:dyDescent="0.35">
      <c r="A469" t="s">
        <v>1425</v>
      </c>
      <c r="B469" s="10" t="s">
        <v>1426</v>
      </c>
      <c r="C469" s="11" t="str">
        <f t="shared" si="7"/>
        <v>November</v>
      </c>
      <c r="D469" t="s">
        <v>863</v>
      </c>
      <c r="E469" t="s">
        <v>1427</v>
      </c>
      <c r="F469" t="s">
        <v>19</v>
      </c>
      <c r="G469" t="s">
        <v>57</v>
      </c>
      <c r="H469" t="s">
        <v>76</v>
      </c>
      <c r="I469" t="s">
        <v>119</v>
      </c>
      <c r="J469">
        <v>5</v>
      </c>
      <c r="K469" s="4">
        <v>113.47</v>
      </c>
      <c r="L469" s="2">
        <v>567.35</v>
      </c>
      <c r="M469">
        <v>0.3</v>
      </c>
      <c r="N469" s="4">
        <v>180.37</v>
      </c>
      <c r="O469" t="s">
        <v>39</v>
      </c>
      <c r="P469">
        <v>9</v>
      </c>
    </row>
    <row r="470" spans="1:16" x14ac:dyDescent="0.35">
      <c r="A470" t="s">
        <v>1428</v>
      </c>
      <c r="B470" s="10" t="s">
        <v>1050</v>
      </c>
      <c r="C470" s="11" t="str">
        <f t="shared" si="7"/>
        <v>February</v>
      </c>
      <c r="D470" t="s">
        <v>163</v>
      </c>
      <c r="E470" t="s">
        <v>1429</v>
      </c>
      <c r="F470" t="s">
        <v>44</v>
      </c>
      <c r="G470" t="s">
        <v>28</v>
      </c>
      <c r="H470" t="s">
        <v>76</v>
      </c>
      <c r="I470" t="s">
        <v>128</v>
      </c>
      <c r="J470">
        <v>4</v>
      </c>
      <c r="K470" s="4">
        <v>1027.1099999999999</v>
      </c>
      <c r="L470" s="2">
        <v>4108.4399999999996</v>
      </c>
      <c r="M470">
        <v>0.05</v>
      </c>
      <c r="N470" s="4">
        <v>1933.36</v>
      </c>
      <c r="O470" t="s">
        <v>39</v>
      </c>
      <c r="P470">
        <v>10</v>
      </c>
    </row>
    <row r="471" spans="1:16" x14ac:dyDescent="0.35">
      <c r="A471" t="s">
        <v>1430</v>
      </c>
      <c r="B471" s="10" t="s">
        <v>758</v>
      </c>
      <c r="C471" s="11" t="str">
        <f t="shared" si="7"/>
        <v>January</v>
      </c>
      <c r="D471" t="s">
        <v>1431</v>
      </c>
      <c r="E471" t="s">
        <v>1432</v>
      </c>
      <c r="F471" t="s">
        <v>36</v>
      </c>
      <c r="G471" t="s">
        <v>57</v>
      </c>
      <c r="H471" t="s">
        <v>76</v>
      </c>
      <c r="I471" t="s">
        <v>119</v>
      </c>
      <c r="J471">
        <v>6</v>
      </c>
      <c r="K471" s="4">
        <v>42.89</v>
      </c>
      <c r="L471" s="2">
        <v>257.33999999999997</v>
      </c>
      <c r="M471">
        <v>0</v>
      </c>
      <c r="N471" s="4">
        <v>41.72</v>
      </c>
      <c r="O471" t="s">
        <v>39</v>
      </c>
      <c r="P471">
        <v>3</v>
      </c>
    </row>
    <row r="472" spans="1:16" x14ac:dyDescent="0.35">
      <c r="A472" t="s">
        <v>1433</v>
      </c>
      <c r="B472" s="10" t="s">
        <v>1434</v>
      </c>
      <c r="C472" s="11" t="str">
        <f t="shared" si="7"/>
        <v>April</v>
      </c>
      <c r="D472" t="s">
        <v>1435</v>
      </c>
      <c r="E472" t="s">
        <v>1436</v>
      </c>
      <c r="F472" t="s">
        <v>44</v>
      </c>
      <c r="G472" t="s">
        <v>57</v>
      </c>
      <c r="H472" t="s">
        <v>21</v>
      </c>
      <c r="I472" t="s">
        <v>82</v>
      </c>
      <c r="J472">
        <v>1</v>
      </c>
      <c r="K472" s="4">
        <v>294.72000000000003</v>
      </c>
      <c r="L472" s="2">
        <v>294.72000000000003</v>
      </c>
      <c r="M472">
        <v>0.05</v>
      </c>
      <c r="N472" s="4">
        <v>152.34</v>
      </c>
      <c r="O472" t="s">
        <v>39</v>
      </c>
      <c r="P472">
        <v>6</v>
      </c>
    </row>
    <row r="473" spans="1:16" x14ac:dyDescent="0.35">
      <c r="A473" t="s">
        <v>1437</v>
      </c>
      <c r="B473" s="10" t="s">
        <v>956</v>
      </c>
      <c r="C473" s="11" t="str">
        <f t="shared" si="7"/>
        <v>July</v>
      </c>
      <c r="D473" t="s">
        <v>108</v>
      </c>
      <c r="E473" t="s">
        <v>1438</v>
      </c>
      <c r="F473" t="s">
        <v>19</v>
      </c>
      <c r="G473" t="s">
        <v>28</v>
      </c>
      <c r="H473" t="s">
        <v>76</v>
      </c>
      <c r="I473" t="s">
        <v>77</v>
      </c>
      <c r="J473">
        <v>6</v>
      </c>
      <c r="K473" s="4">
        <v>114.66</v>
      </c>
      <c r="L473" s="2">
        <v>687.96</v>
      </c>
      <c r="M473">
        <v>0.05</v>
      </c>
      <c r="N473" s="4">
        <v>344.81</v>
      </c>
      <c r="O473" t="s">
        <v>31</v>
      </c>
      <c r="P473">
        <v>4</v>
      </c>
    </row>
    <row r="474" spans="1:16" x14ac:dyDescent="0.35">
      <c r="A474" t="s">
        <v>1439</v>
      </c>
      <c r="B474" s="10" t="s">
        <v>701</v>
      </c>
      <c r="C474" s="11" t="str">
        <f t="shared" si="7"/>
        <v>August</v>
      </c>
      <c r="D474" t="s">
        <v>654</v>
      </c>
      <c r="E474" t="s">
        <v>1440</v>
      </c>
      <c r="F474" t="s">
        <v>19</v>
      </c>
      <c r="G474" t="s">
        <v>20</v>
      </c>
      <c r="H474" t="s">
        <v>76</v>
      </c>
      <c r="I474" t="s">
        <v>128</v>
      </c>
      <c r="J474">
        <v>1</v>
      </c>
      <c r="K474" s="4">
        <v>163.91</v>
      </c>
      <c r="L474" s="2">
        <v>163.91</v>
      </c>
      <c r="M474">
        <v>0.3</v>
      </c>
      <c r="N474" s="4">
        <v>51.68</v>
      </c>
      <c r="O474" t="s">
        <v>31</v>
      </c>
      <c r="P474">
        <v>8</v>
      </c>
    </row>
    <row r="475" spans="1:16" x14ac:dyDescent="0.35">
      <c r="A475" t="s">
        <v>1441</v>
      </c>
      <c r="B475" s="10" t="s">
        <v>73</v>
      </c>
      <c r="C475" s="11" t="str">
        <f t="shared" si="7"/>
        <v>December</v>
      </c>
      <c r="D475" t="s">
        <v>972</v>
      </c>
      <c r="E475" t="s">
        <v>1442</v>
      </c>
      <c r="F475" t="s">
        <v>44</v>
      </c>
      <c r="G475" t="s">
        <v>37</v>
      </c>
      <c r="H475" t="s">
        <v>21</v>
      </c>
      <c r="I475" t="s">
        <v>22</v>
      </c>
      <c r="J475">
        <v>9</v>
      </c>
      <c r="K475" s="4">
        <v>805.89</v>
      </c>
      <c r="L475" s="2">
        <v>7253.01</v>
      </c>
      <c r="M475">
        <v>0.05</v>
      </c>
      <c r="N475" s="4">
        <v>2486.52</v>
      </c>
      <c r="O475" t="s">
        <v>23</v>
      </c>
      <c r="P475">
        <v>1</v>
      </c>
    </row>
    <row r="476" spans="1:16" x14ac:dyDescent="0.35">
      <c r="A476" t="s">
        <v>1443</v>
      </c>
      <c r="B476" s="10" t="s">
        <v>265</v>
      </c>
      <c r="C476" s="11" t="str">
        <f t="shared" si="7"/>
        <v>April</v>
      </c>
      <c r="D476" t="s">
        <v>870</v>
      </c>
      <c r="E476" t="s">
        <v>1444</v>
      </c>
      <c r="F476" t="s">
        <v>36</v>
      </c>
      <c r="G476" t="s">
        <v>37</v>
      </c>
      <c r="H476" t="s">
        <v>21</v>
      </c>
      <c r="I476" t="s">
        <v>71</v>
      </c>
      <c r="J476">
        <v>9</v>
      </c>
      <c r="K476" s="4">
        <v>164.13</v>
      </c>
      <c r="L476" s="2">
        <v>1477.17</v>
      </c>
      <c r="M476">
        <v>0.15</v>
      </c>
      <c r="N476" s="4">
        <v>369.89</v>
      </c>
      <c r="O476" t="s">
        <v>31</v>
      </c>
      <c r="P476">
        <v>4</v>
      </c>
    </row>
    <row r="477" spans="1:16" x14ac:dyDescent="0.35">
      <c r="A477" t="s">
        <v>1445</v>
      </c>
      <c r="B477" s="10" t="s">
        <v>496</v>
      </c>
      <c r="C477" s="11" t="str">
        <f t="shared" si="7"/>
        <v>July</v>
      </c>
      <c r="D477" t="s">
        <v>789</v>
      </c>
      <c r="E477" t="s">
        <v>1446</v>
      </c>
      <c r="F477" t="s">
        <v>36</v>
      </c>
      <c r="G477" t="s">
        <v>20</v>
      </c>
      <c r="H477" t="s">
        <v>21</v>
      </c>
      <c r="I477" t="s">
        <v>82</v>
      </c>
      <c r="J477">
        <v>6</v>
      </c>
      <c r="K477" s="4">
        <v>37.78</v>
      </c>
      <c r="L477" s="2">
        <v>226.68</v>
      </c>
      <c r="M477">
        <v>0.1</v>
      </c>
      <c r="N477" s="4">
        <v>64.489999999999995</v>
      </c>
      <c r="O477" t="s">
        <v>23</v>
      </c>
      <c r="P477">
        <v>8</v>
      </c>
    </row>
    <row r="478" spans="1:16" x14ac:dyDescent="0.35">
      <c r="A478" t="s">
        <v>1447</v>
      </c>
      <c r="B478" s="10" t="s">
        <v>1222</v>
      </c>
      <c r="C478" s="11" t="str">
        <f t="shared" si="7"/>
        <v>September</v>
      </c>
      <c r="D478" t="s">
        <v>1448</v>
      </c>
      <c r="E478" t="s">
        <v>1449</v>
      </c>
      <c r="F478" t="s">
        <v>19</v>
      </c>
      <c r="G478" t="s">
        <v>57</v>
      </c>
      <c r="H478" t="s">
        <v>21</v>
      </c>
      <c r="I478" t="s">
        <v>71</v>
      </c>
      <c r="J478">
        <v>3</v>
      </c>
      <c r="K478" s="4">
        <v>458.25</v>
      </c>
      <c r="L478" s="2">
        <v>1374.75</v>
      </c>
      <c r="M478">
        <v>0</v>
      </c>
      <c r="N478" s="4">
        <v>619.34</v>
      </c>
      <c r="O478" t="s">
        <v>23</v>
      </c>
      <c r="P478">
        <v>1</v>
      </c>
    </row>
    <row r="479" spans="1:16" x14ac:dyDescent="0.35">
      <c r="A479" t="s">
        <v>1450</v>
      </c>
      <c r="B479" s="10" t="s">
        <v>321</v>
      </c>
      <c r="C479" s="11" t="str">
        <f t="shared" si="7"/>
        <v>April</v>
      </c>
      <c r="D479" t="s">
        <v>1059</v>
      </c>
      <c r="E479" t="s">
        <v>1451</v>
      </c>
      <c r="F479" t="s">
        <v>19</v>
      </c>
      <c r="G479" t="s">
        <v>57</v>
      </c>
      <c r="H479" t="s">
        <v>29</v>
      </c>
      <c r="I479" t="s">
        <v>110</v>
      </c>
      <c r="J479">
        <v>3</v>
      </c>
      <c r="K479" s="4">
        <v>847.57</v>
      </c>
      <c r="L479" s="2">
        <v>2542.71</v>
      </c>
      <c r="M479">
        <v>0</v>
      </c>
      <c r="N479" s="4">
        <v>1270.51</v>
      </c>
      <c r="O479" t="s">
        <v>39</v>
      </c>
      <c r="P479">
        <v>4</v>
      </c>
    </row>
    <row r="480" spans="1:16" x14ac:dyDescent="0.35">
      <c r="A480" t="s">
        <v>1452</v>
      </c>
      <c r="B480" s="10" t="s">
        <v>170</v>
      </c>
      <c r="C480" s="11" t="str">
        <f t="shared" si="7"/>
        <v>January</v>
      </c>
      <c r="D480" t="s">
        <v>231</v>
      </c>
      <c r="E480" t="s">
        <v>1453</v>
      </c>
      <c r="F480" t="s">
        <v>19</v>
      </c>
      <c r="G480" t="s">
        <v>28</v>
      </c>
      <c r="H480" t="s">
        <v>29</v>
      </c>
      <c r="I480" t="s">
        <v>62</v>
      </c>
      <c r="J480">
        <v>7</v>
      </c>
      <c r="K480" s="4">
        <v>442.64</v>
      </c>
      <c r="L480" s="2">
        <v>3098.48</v>
      </c>
      <c r="M480">
        <v>0.05</v>
      </c>
      <c r="N480" s="4">
        <v>1323.78</v>
      </c>
      <c r="O480" t="s">
        <v>23</v>
      </c>
      <c r="P480">
        <v>5</v>
      </c>
    </row>
    <row r="481" spans="1:16" x14ac:dyDescent="0.35">
      <c r="A481" t="s">
        <v>1454</v>
      </c>
      <c r="B481" s="10" t="s">
        <v>1455</v>
      </c>
      <c r="C481" s="11" t="str">
        <f t="shared" si="7"/>
        <v>August</v>
      </c>
      <c r="D481" t="s">
        <v>433</v>
      </c>
      <c r="E481" t="s">
        <v>1456</v>
      </c>
      <c r="F481" t="s">
        <v>19</v>
      </c>
      <c r="G481" t="s">
        <v>37</v>
      </c>
      <c r="H481" t="s">
        <v>21</v>
      </c>
      <c r="I481" t="s">
        <v>82</v>
      </c>
      <c r="J481">
        <v>4</v>
      </c>
      <c r="K481" s="4">
        <v>688.71</v>
      </c>
      <c r="L481" s="2">
        <v>2754.84</v>
      </c>
      <c r="M481">
        <v>0.2</v>
      </c>
      <c r="N481" s="4">
        <v>905.65</v>
      </c>
      <c r="O481" t="s">
        <v>31</v>
      </c>
      <c r="P481">
        <v>9</v>
      </c>
    </row>
    <row r="482" spans="1:16" x14ac:dyDescent="0.35">
      <c r="A482" t="s">
        <v>1457</v>
      </c>
      <c r="B482" s="10" t="s">
        <v>1458</v>
      </c>
      <c r="C482" s="11" t="str">
        <f t="shared" si="7"/>
        <v>January</v>
      </c>
      <c r="D482" t="s">
        <v>926</v>
      </c>
      <c r="E482" t="s">
        <v>1459</v>
      </c>
      <c r="F482" t="s">
        <v>19</v>
      </c>
      <c r="G482" t="s">
        <v>28</v>
      </c>
      <c r="H482" t="s">
        <v>29</v>
      </c>
      <c r="I482" t="s">
        <v>45</v>
      </c>
      <c r="J482">
        <v>5</v>
      </c>
      <c r="K482" s="4">
        <v>986.91</v>
      </c>
      <c r="L482" s="2">
        <v>4934.55</v>
      </c>
      <c r="M482">
        <v>0.2</v>
      </c>
      <c r="N482" s="4">
        <v>1591.51</v>
      </c>
      <c r="O482" t="s">
        <v>23</v>
      </c>
      <c r="P482">
        <v>3</v>
      </c>
    </row>
    <row r="483" spans="1:16" x14ac:dyDescent="0.35">
      <c r="A483" t="s">
        <v>1460</v>
      </c>
      <c r="B483" s="10" t="s">
        <v>447</v>
      </c>
      <c r="C483" s="11" t="str">
        <f t="shared" si="7"/>
        <v>February</v>
      </c>
      <c r="D483" t="s">
        <v>1461</v>
      </c>
      <c r="E483" t="s">
        <v>1462</v>
      </c>
      <c r="F483" t="s">
        <v>19</v>
      </c>
      <c r="G483" t="s">
        <v>28</v>
      </c>
      <c r="H483" t="s">
        <v>29</v>
      </c>
      <c r="I483" t="s">
        <v>100</v>
      </c>
      <c r="J483">
        <v>6</v>
      </c>
      <c r="K483" s="4">
        <v>935.7</v>
      </c>
      <c r="L483" s="2">
        <v>5614.2</v>
      </c>
      <c r="M483">
        <v>0.05</v>
      </c>
      <c r="N483" s="4">
        <v>2249.25</v>
      </c>
      <c r="O483" t="s">
        <v>31</v>
      </c>
      <c r="P483">
        <v>9</v>
      </c>
    </row>
    <row r="484" spans="1:16" x14ac:dyDescent="0.35">
      <c r="A484" t="s">
        <v>1463</v>
      </c>
      <c r="B484" s="10" t="s">
        <v>753</v>
      </c>
      <c r="C484" s="11" t="str">
        <f t="shared" si="7"/>
        <v>November</v>
      </c>
      <c r="D484" t="s">
        <v>712</v>
      </c>
      <c r="E484" t="s">
        <v>1464</v>
      </c>
      <c r="F484" t="s">
        <v>36</v>
      </c>
      <c r="G484" t="s">
        <v>20</v>
      </c>
      <c r="H484" t="s">
        <v>21</v>
      </c>
      <c r="I484" t="s">
        <v>82</v>
      </c>
      <c r="J484">
        <v>9</v>
      </c>
      <c r="K484" s="4">
        <v>201.88</v>
      </c>
      <c r="L484" s="2">
        <v>1816.92</v>
      </c>
      <c r="M484">
        <v>0.1</v>
      </c>
      <c r="N484" s="4">
        <v>688.37</v>
      </c>
      <c r="O484" t="s">
        <v>23</v>
      </c>
      <c r="P484">
        <v>2</v>
      </c>
    </row>
    <row r="485" spans="1:16" x14ac:dyDescent="0.35">
      <c r="A485" t="s">
        <v>1465</v>
      </c>
      <c r="B485" s="10" t="s">
        <v>292</v>
      </c>
      <c r="C485" s="11" t="str">
        <f t="shared" si="7"/>
        <v>April</v>
      </c>
      <c r="D485" t="s">
        <v>126</v>
      </c>
      <c r="E485" t="s">
        <v>1466</v>
      </c>
      <c r="F485" t="s">
        <v>36</v>
      </c>
      <c r="G485" t="s">
        <v>28</v>
      </c>
      <c r="H485" t="s">
        <v>29</v>
      </c>
      <c r="I485" t="s">
        <v>224</v>
      </c>
      <c r="J485">
        <v>3</v>
      </c>
      <c r="K485" s="4">
        <v>1050.72</v>
      </c>
      <c r="L485" s="2">
        <v>3152.16</v>
      </c>
      <c r="M485">
        <v>0.05</v>
      </c>
      <c r="N485" s="4">
        <v>1518.77</v>
      </c>
      <c r="O485" t="s">
        <v>23</v>
      </c>
      <c r="P485">
        <v>8</v>
      </c>
    </row>
    <row r="486" spans="1:16" x14ac:dyDescent="0.35">
      <c r="A486" t="s">
        <v>1467</v>
      </c>
      <c r="B486" s="10" t="s">
        <v>1400</v>
      </c>
      <c r="C486" s="11" t="str">
        <f t="shared" si="7"/>
        <v>February</v>
      </c>
      <c r="D486" t="s">
        <v>1468</v>
      </c>
      <c r="E486" t="s">
        <v>1469</v>
      </c>
      <c r="F486" t="s">
        <v>36</v>
      </c>
      <c r="G486" t="s">
        <v>28</v>
      </c>
      <c r="H486" t="s">
        <v>21</v>
      </c>
      <c r="I486" t="s">
        <v>71</v>
      </c>
      <c r="J486">
        <v>10</v>
      </c>
      <c r="K486" s="4">
        <v>322.01</v>
      </c>
      <c r="L486" s="2">
        <v>3220.1</v>
      </c>
      <c r="M486">
        <v>0.1</v>
      </c>
      <c r="N486" s="4">
        <v>1338.08</v>
      </c>
      <c r="O486" t="s">
        <v>31</v>
      </c>
      <c r="P486">
        <v>8</v>
      </c>
    </row>
    <row r="487" spans="1:16" x14ac:dyDescent="0.35">
      <c r="A487" t="s">
        <v>1470</v>
      </c>
      <c r="B487" s="10" t="s">
        <v>1471</v>
      </c>
      <c r="C487" s="11" t="str">
        <f t="shared" si="7"/>
        <v>December</v>
      </c>
      <c r="D487" t="s">
        <v>976</v>
      </c>
      <c r="E487" t="s">
        <v>1472</v>
      </c>
      <c r="F487" t="s">
        <v>19</v>
      </c>
      <c r="G487" t="s">
        <v>57</v>
      </c>
      <c r="H487" t="s">
        <v>21</v>
      </c>
      <c r="I487" t="s">
        <v>22</v>
      </c>
      <c r="J487">
        <v>6</v>
      </c>
      <c r="K487" s="4">
        <v>678.46</v>
      </c>
      <c r="L487" s="2">
        <v>4070.76</v>
      </c>
      <c r="M487">
        <v>0.15</v>
      </c>
      <c r="N487" s="4">
        <v>765.35</v>
      </c>
      <c r="O487" t="s">
        <v>23</v>
      </c>
      <c r="P487">
        <v>1</v>
      </c>
    </row>
    <row r="488" spans="1:16" x14ac:dyDescent="0.35">
      <c r="A488" t="s">
        <v>1473</v>
      </c>
      <c r="B488" s="10" t="s">
        <v>467</v>
      </c>
      <c r="C488" s="11" t="str">
        <f t="shared" si="7"/>
        <v>February</v>
      </c>
      <c r="D488" t="s">
        <v>126</v>
      </c>
      <c r="E488" t="s">
        <v>1474</v>
      </c>
      <c r="F488" t="s">
        <v>19</v>
      </c>
      <c r="G488" t="s">
        <v>37</v>
      </c>
      <c r="H488" t="s">
        <v>21</v>
      </c>
      <c r="I488" t="s">
        <v>22</v>
      </c>
      <c r="J488">
        <v>5</v>
      </c>
      <c r="K488" s="4">
        <v>111.96</v>
      </c>
      <c r="L488" s="2">
        <v>559.79999999999995</v>
      </c>
      <c r="M488">
        <v>0.05</v>
      </c>
      <c r="N488" s="4">
        <v>88.16</v>
      </c>
      <c r="O488" t="s">
        <v>23</v>
      </c>
      <c r="P488">
        <v>7</v>
      </c>
    </row>
    <row r="489" spans="1:16" x14ac:dyDescent="0.35">
      <c r="A489" t="s">
        <v>1475</v>
      </c>
      <c r="B489" s="10" t="s">
        <v>812</v>
      </c>
      <c r="C489" s="11" t="str">
        <f t="shared" si="7"/>
        <v>April</v>
      </c>
      <c r="D489" t="s">
        <v>1270</v>
      </c>
      <c r="E489" t="s">
        <v>1476</v>
      </c>
      <c r="F489" t="s">
        <v>19</v>
      </c>
      <c r="G489" t="s">
        <v>28</v>
      </c>
      <c r="H489" t="s">
        <v>29</v>
      </c>
      <c r="I489" t="s">
        <v>224</v>
      </c>
      <c r="J489">
        <v>9</v>
      </c>
      <c r="K489" s="4">
        <v>795.11</v>
      </c>
      <c r="L489" s="2">
        <v>7155.99</v>
      </c>
      <c r="M489">
        <v>0.2</v>
      </c>
      <c r="N489" s="4">
        <v>1716.69</v>
      </c>
      <c r="O489" t="s">
        <v>23</v>
      </c>
      <c r="P489">
        <v>2</v>
      </c>
    </row>
    <row r="490" spans="1:16" x14ac:dyDescent="0.35">
      <c r="A490" t="s">
        <v>1477</v>
      </c>
      <c r="B490" s="10" t="s">
        <v>1174</v>
      </c>
      <c r="C490" s="11" t="str">
        <f t="shared" si="7"/>
        <v>February</v>
      </c>
      <c r="D490" t="s">
        <v>980</v>
      </c>
      <c r="E490" t="s">
        <v>1478</v>
      </c>
      <c r="F490" t="s">
        <v>36</v>
      </c>
      <c r="G490" t="s">
        <v>28</v>
      </c>
      <c r="H490" t="s">
        <v>21</v>
      </c>
      <c r="I490" t="s">
        <v>71</v>
      </c>
      <c r="J490">
        <v>6</v>
      </c>
      <c r="K490" s="4">
        <v>815.9</v>
      </c>
      <c r="L490" s="2">
        <v>4895.3999999999996</v>
      </c>
      <c r="M490">
        <v>0.3</v>
      </c>
      <c r="N490" s="4">
        <v>972.87</v>
      </c>
      <c r="O490" t="s">
        <v>23</v>
      </c>
      <c r="P490">
        <v>6</v>
      </c>
    </row>
    <row r="491" spans="1:16" x14ac:dyDescent="0.35">
      <c r="A491" t="s">
        <v>1479</v>
      </c>
      <c r="B491" s="10" t="s">
        <v>1337</v>
      </c>
      <c r="C491" s="11" t="str">
        <f t="shared" si="7"/>
        <v>June</v>
      </c>
      <c r="D491" t="s">
        <v>736</v>
      </c>
      <c r="E491" t="s">
        <v>1480</v>
      </c>
      <c r="F491" t="s">
        <v>44</v>
      </c>
      <c r="G491" t="s">
        <v>57</v>
      </c>
      <c r="H491" t="s">
        <v>21</v>
      </c>
      <c r="I491" t="s">
        <v>105</v>
      </c>
      <c r="J491">
        <v>9</v>
      </c>
      <c r="K491" s="4">
        <v>1198.1500000000001</v>
      </c>
      <c r="L491" s="2">
        <v>10783.35</v>
      </c>
      <c r="M491">
        <v>0.15</v>
      </c>
      <c r="N491" s="4">
        <v>1618.62</v>
      </c>
      <c r="O491" t="s">
        <v>39</v>
      </c>
      <c r="P491">
        <v>7</v>
      </c>
    </row>
    <row r="492" spans="1:16" x14ac:dyDescent="0.35">
      <c r="A492" t="s">
        <v>1481</v>
      </c>
      <c r="B492" s="10" t="s">
        <v>125</v>
      </c>
      <c r="C492" s="11" t="str">
        <f t="shared" si="7"/>
        <v>October</v>
      </c>
      <c r="D492" t="s">
        <v>468</v>
      </c>
      <c r="E492" t="s">
        <v>1482</v>
      </c>
      <c r="F492" t="s">
        <v>44</v>
      </c>
      <c r="G492" t="s">
        <v>57</v>
      </c>
      <c r="H492" t="s">
        <v>21</v>
      </c>
      <c r="I492" t="s">
        <v>38</v>
      </c>
      <c r="J492">
        <v>10</v>
      </c>
      <c r="K492" s="4">
        <v>304.05</v>
      </c>
      <c r="L492" s="2">
        <v>3040.5</v>
      </c>
      <c r="M492">
        <v>0.2</v>
      </c>
      <c r="N492" s="4">
        <v>1129.68</v>
      </c>
      <c r="O492" t="s">
        <v>39</v>
      </c>
      <c r="P492">
        <v>8</v>
      </c>
    </row>
    <row r="493" spans="1:16" x14ac:dyDescent="0.35">
      <c r="A493" t="s">
        <v>1483</v>
      </c>
      <c r="B493" s="10" t="s">
        <v>1110</v>
      </c>
      <c r="C493" s="11" t="str">
        <f t="shared" si="7"/>
        <v>March</v>
      </c>
      <c r="D493" t="s">
        <v>395</v>
      </c>
      <c r="E493" t="s">
        <v>1484</v>
      </c>
      <c r="F493" t="s">
        <v>36</v>
      </c>
      <c r="G493" t="s">
        <v>57</v>
      </c>
      <c r="H493" t="s">
        <v>76</v>
      </c>
      <c r="I493" t="s">
        <v>77</v>
      </c>
      <c r="J493">
        <v>1</v>
      </c>
      <c r="K493" s="4">
        <v>1179.8900000000001</v>
      </c>
      <c r="L493" s="2">
        <v>1179.8900000000001</v>
      </c>
      <c r="M493">
        <v>0.2</v>
      </c>
      <c r="N493" s="4">
        <v>513</v>
      </c>
      <c r="O493" t="s">
        <v>31</v>
      </c>
      <c r="P493">
        <v>4</v>
      </c>
    </row>
    <row r="494" spans="1:16" x14ac:dyDescent="0.35">
      <c r="A494" t="s">
        <v>1485</v>
      </c>
      <c r="B494" s="10" t="s">
        <v>559</v>
      </c>
      <c r="C494" s="11" t="str">
        <f t="shared" si="7"/>
        <v>October</v>
      </c>
      <c r="D494" t="s">
        <v>839</v>
      </c>
      <c r="E494" t="s">
        <v>1486</v>
      </c>
      <c r="F494" t="s">
        <v>36</v>
      </c>
      <c r="G494" t="s">
        <v>20</v>
      </c>
      <c r="H494" t="s">
        <v>76</v>
      </c>
      <c r="I494" t="s">
        <v>77</v>
      </c>
      <c r="J494">
        <v>5</v>
      </c>
      <c r="K494" s="4">
        <v>1104.55</v>
      </c>
      <c r="L494" s="2">
        <v>5522.75</v>
      </c>
      <c r="M494">
        <v>0.2</v>
      </c>
      <c r="N494" s="4">
        <v>1446.83</v>
      </c>
      <c r="O494" t="s">
        <v>39</v>
      </c>
      <c r="P494">
        <v>6</v>
      </c>
    </row>
    <row r="495" spans="1:16" x14ac:dyDescent="0.35">
      <c r="A495" t="s">
        <v>1487</v>
      </c>
      <c r="B495" s="10" t="s">
        <v>1064</v>
      </c>
      <c r="C495" s="11" t="str">
        <f t="shared" si="7"/>
        <v>May</v>
      </c>
      <c r="D495" t="s">
        <v>759</v>
      </c>
      <c r="E495" t="s">
        <v>1488</v>
      </c>
      <c r="F495" t="s">
        <v>36</v>
      </c>
      <c r="G495" t="s">
        <v>28</v>
      </c>
      <c r="H495" t="s">
        <v>29</v>
      </c>
      <c r="I495" t="s">
        <v>224</v>
      </c>
      <c r="J495">
        <v>5</v>
      </c>
      <c r="K495" s="4">
        <v>453.16</v>
      </c>
      <c r="L495" s="2">
        <v>2265.8000000000002</v>
      </c>
      <c r="M495">
        <v>0.2</v>
      </c>
      <c r="N495" s="4">
        <v>815.79</v>
      </c>
      <c r="O495" t="s">
        <v>23</v>
      </c>
      <c r="P495">
        <v>4</v>
      </c>
    </row>
    <row r="496" spans="1:16" x14ac:dyDescent="0.35">
      <c r="A496" t="s">
        <v>1489</v>
      </c>
      <c r="B496" s="10" t="s">
        <v>166</v>
      </c>
      <c r="C496" s="11" t="str">
        <f t="shared" si="7"/>
        <v>December</v>
      </c>
      <c r="D496" t="s">
        <v>282</v>
      </c>
      <c r="E496" t="s">
        <v>1490</v>
      </c>
      <c r="F496" t="s">
        <v>19</v>
      </c>
      <c r="G496" t="s">
        <v>20</v>
      </c>
      <c r="H496" t="s">
        <v>21</v>
      </c>
      <c r="I496" t="s">
        <v>22</v>
      </c>
      <c r="J496">
        <v>6</v>
      </c>
      <c r="K496" s="4">
        <v>955.63</v>
      </c>
      <c r="L496" s="2">
        <v>5733.78</v>
      </c>
      <c r="M496">
        <v>0.05</v>
      </c>
      <c r="N496" s="4">
        <v>1932.03</v>
      </c>
      <c r="O496" t="s">
        <v>23</v>
      </c>
      <c r="P496">
        <v>5</v>
      </c>
    </row>
    <row r="497" spans="1:16" x14ac:dyDescent="0.35">
      <c r="A497" t="s">
        <v>1491</v>
      </c>
      <c r="B497" s="10" t="s">
        <v>719</v>
      </c>
      <c r="C497" s="11" t="str">
        <f t="shared" si="7"/>
        <v>June</v>
      </c>
      <c r="D497" t="s">
        <v>514</v>
      </c>
      <c r="E497" t="s">
        <v>1492</v>
      </c>
      <c r="F497" t="s">
        <v>44</v>
      </c>
      <c r="G497" t="s">
        <v>28</v>
      </c>
      <c r="H497" t="s">
        <v>29</v>
      </c>
      <c r="I497" t="s">
        <v>62</v>
      </c>
      <c r="J497">
        <v>10</v>
      </c>
      <c r="K497" s="4">
        <v>470.22</v>
      </c>
      <c r="L497" s="2">
        <v>4702.2</v>
      </c>
      <c r="M497">
        <v>0</v>
      </c>
      <c r="N497" s="4">
        <v>852.28</v>
      </c>
      <c r="O497" t="s">
        <v>31</v>
      </c>
      <c r="P497">
        <v>4</v>
      </c>
    </row>
    <row r="498" spans="1:16" x14ac:dyDescent="0.35">
      <c r="A498" t="s">
        <v>1493</v>
      </c>
      <c r="B498" s="10" t="s">
        <v>1293</v>
      </c>
      <c r="C498" s="11" t="str">
        <f t="shared" si="7"/>
        <v>June</v>
      </c>
      <c r="D498" t="s">
        <v>685</v>
      </c>
      <c r="E498" t="s">
        <v>1494</v>
      </c>
      <c r="F498" t="s">
        <v>36</v>
      </c>
      <c r="G498" t="s">
        <v>57</v>
      </c>
      <c r="H498" t="s">
        <v>21</v>
      </c>
      <c r="I498" t="s">
        <v>71</v>
      </c>
      <c r="J498">
        <v>1</v>
      </c>
      <c r="K498" s="4">
        <v>767.99</v>
      </c>
      <c r="L498" s="2">
        <v>767.99</v>
      </c>
      <c r="M498">
        <v>0.3</v>
      </c>
      <c r="N498" s="4">
        <v>213.43</v>
      </c>
      <c r="O498" t="s">
        <v>23</v>
      </c>
      <c r="P498">
        <v>10</v>
      </c>
    </row>
    <row r="499" spans="1:16" x14ac:dyDescent="0.35">
      <c r="A499" t="s">
        <v>1495</v>
      </c>
      <c r="B499" s="10" t="s">
        <v>661</v>
      </c>
      <c r="C499" s="11" t="str">
        <f t="shared" si="7"/>
        <v>July</v>
      </c>
      <c r="D499" t="s">
        <v>1263</v>
      </c>
      <c r="E499" t="s">
        <v>1496</v>
      </c>
      <c r="F499" t="s">
        <v>19</v>
      </c>
      <c r="G499" t="s">
        <v>20</v>
      </c>
      <c r="H499" t="s">
        <v>29</v>
      </c>
      <c r="I499" t="s">
        <v>110</v>
      </c>
      <c r="J499">
        <v>9</v>
      </c>
      <c r="K499" s="4">
        <v>843.37</v>
      </c>
      <c r="L499" s="2">
        <v>7590.33</v>
      </c>
      <c r="M499">
        <v>0.05</v>
      </c>
      <c r="N499" s="4">
        <v>3820.23</v>
      </c>
      <c r="O499" t="s">
        <v>31</v>
      </c>
      <c r="P499">
        <v>7</v>
      </c>
    </row>
    <row r="500" spans="1:16" x14ac:dyDescent="0.35">
      <c r="A500" t="s">
        <v>1497</v>
      </c>
      <c r="B500" s="10" t="s">
        <v>1101</v>
      </c>
      <c r="C500" s="11" t="str">
        <f t="shared" si="7"/>
        <v>January</v>
      </c>
      <c r="D500" t="s">
        <v>736</v>
      </c>
      <c r="E500" t="s">
        <v>1498</v>
      </c>
      <c r="F500" t="s">
        <v>44</v>
      </c>
      <c r="G500" t="s">
        <v>57</v>
      </c>
      <c r="H500" t="s">
        <v>76</v>
      </c>
      <c r="I500" t="s">
        <v>128</v>
      </c>
      <c r="J500">
        <v>3</v>
      </c>
      <c r="K500" s="4">
        <v>175.98</v>
      </c>
      <c r="L500" s="2">
        <v>527.94000000000005</v>
      </c>
      <c r="M500">
        <v>0</v>
      </c>
      <c r="N500" s="4">
        <v>189.88</v>
      </c>
      <c r="O500" t="s">
        <v>31</v>
      </c>
      <c r="P500">
        <v>7</v>
      </c>
    </row>
    <row r="501" spans="1:16" x14ac:dyDescent="0.35">
      <c r="A501" t="s">
        <v>1499</v>
      </c>
      <c r="B501" s="10" t="s">
        <v>1305</v>
      </c>
      <c r="C501" s="11" t="str">
        <f t="shared" si="7"/>
        <v>September</v>
      </c>
      <c r="D501" t="s">
        <v>510</v>
      </c>
      <c r="E501" t="s">
        <v>1500</v>
      </c>
      <c r="F501" t="s">
        <v>19</v>
      </c>
      <c r="G501" t="s">
        <v>37</v>
      </c>
      <c r="H501" t="s">
        <v>21</v>
      </c>
      <c r="I501" t="s">
        <v>82</v>
      </c>
      <c r="J501">
        <v>3</v>
      </c>
      <c r="K501" s="4">
        <v>919.2</v>
      </c>
      <c r="L501" s="2">
        <v>2757.6</v>
      </c>
      <c r="M501">
        <v>0.15</v>
      </c>
      <c r="N501" s="4">
        <v>764.79</v>
      </c>
      <c r="O501" t="s">
        <v>23</v>
      </c>
      <c r="P501">
        <v>10</v>
      </c>
    </row>
    <row r="502" spans="1:16" x14ac:dyDescent="0.35">
      <c r="A502" t="s">
        <v>1501</v>
      </c>
      <c r="B502" s="10" t="s">
        <v>634</v>
      </c>
      <c r="C502" s="11" t="str">
        <f t="shared" si="7"/>
        <v>June</v>
      </c>
      <c r="D502" t="s">
        <v>195</v>
      </c>
      <c r="E502" t="s">
        <v>1502</v>
      </c>
      <c r="F502" t="s">
        <v>19</v>
      </c>
      <c r="G502" t="s">
        <v>20</v>
      </c>
      <c r="H502" t="s">
        <v>21</v>
      </c>
      <c r="I502" t="s">
        <v>71</v>
      </c>
      <c r="J502">
        <v>4</v>
      </c>
      <c r="K502" s="4">
        <v>305.93</v>
      </c>
      <c r="L502" s="2">
        <v>1223.72</v>
      </c>
      <c r="M502">
        <v>0.1</v>
      </c>
      <c r="N502" s="4">
        <v>263.54000000000002</v>
      </c>
      <c r="O502" t="s">
        <v>31</v>
      </c>
      <c r="P502">
        <v>7</v>
      </c>
    </row>
    <row r="503" spans="1:16" x14ac:dyDescent="0.35">
      <c r="A503" t="s">
        <v>1503</v>
      </c>
      <c r="B503" s="10" t="s">
        <v>878</v>
      </c>
      <c r="C503" s="11" t="str">
        <f t="shared" si="7"/>
        <v>January</v>
      </c>
      <c r="D503" t="s">
        <v>553</v>
      </c>
      <c r="E503" t="s">
        <v>1504</v>
      </c>
      <c r="F503" t="s">
        <v>44</v>
      </c>
      <c r="G503" t="s">
        <v>37</v>
      </c>
      <c r="H503" t="s">
        <v>76</v>
      </c>
      <c r="I503" t="s">
        <v>87</v>
      </c>
      <c r="J503">
        <v>6</v>
      </c>
      <c r="K503" s="4">
        <v>244.78</v>
      </c>
      <c r="L503" s="2">
        <v>1468.68</v>
      </c>
      <c r="M503">
        <v>0.1</v>
      </c>
      <c r="N503" s="4">
        <v>413</v>
      </c>
      <c r="O503" t="s">
        <v>39</v>
      </c>
      <c r="P503">
        <v>10</v>
      </c>
    </row>
    <row r="504" spans="1:16" x14ac:dyDescent="0.35">
      <c r="A504" t="s">
        <v>1505</v>
      </c>
      <c r="B504" s="10" t="s">
        <v>384</v>
      </c>
      <c r="C504" s="11" t="str">
        <f t="shared" si="7"/>
        <v>July</v>
      </c>
      <c r="D504" t="s">
        <v>839</v>
      </c>
      <c r="E504" t="s">
        <v>1506</v>
      </c>
      <c r="F504" t="s">
        <v>19</v>
      </c>
      <c r="G504" t="s">
        <v>20</v>
      </c>
      <c r="H504" t="s">
        <v>76</v>
      </c>
      <c r="I504" t="s">
        <v>177</v>
      </c>
      <c r="J504">
        <v>3</v>
      </c>
      <c r="K504" s="4">
        <v>539.75</v>
      </c>
      <c r="L504" s="2">
        <v>1619.25</v>
      </c>
      <c r="M504">
        <v>0.05</v>
      </c>
      <c r="N504" s="4">
        <v>723.19</v>
      </c>
      <c r="O504" t="s">
        <v>31</v>
      </c>
      <c r="P504">
        <v>1</v>
      </c>
    </row>
    <row r="505" spans="1:16" x14ac:dyDescent="0.35">
      <c r="A505" t="s">
        <v>1507</v>
      </c>
      <c r="B505" s="10" t="s">
        <v>1508</v>
      </c>
      <c r="C505" s="11" t="str">
        <f t="shared" si="7"/>
        <v>December</v>
      </c>
      <c r="D505" t="s">
        <v>740</v>
      </c>
      <c r="E505" t="s">
        <v>1509</v>
      </c>
      <c r="F505" t="s">
        <v>44</v>
      </c>
      <c r="G505" t="s">
        <v>28</v>
      </c>
      <c r="H505" t="s">
        <v>29</v>
      </c>
      <c r="I505" t="s">
        <v>100</v>
      </c>
      <c r="J505">
        <v>3</v>
      </c>
      <c r="K505" s="4">
        <v>1045.1300000000001</v>
      </c>
      <c r="L505" s="2">
        <v>3135.39</v>
      </c>
      <c r="M505">
        <v>0.1</v>
      </c>
      <c r="N505" s="4">
        <v>1536.52</v>
      </c>
      <c r="O505" t="s">
        <v>39</v>
      </c>
      <c r="P505">
        <v>1</v>
      </c>
    </row>
    <row r="506" spans="1:16" x14ac:dyDescent="0.35">
      <c r="A506" t="s">
        <v>1510</v>
      </c>
      <c r="B506" s="10" t="s">
        <v>979</v>
      </c>
      <c r="C506" s="11" t="str">
        <f t="shared" si="7"/>
        <v>May</v>
      </c>
      <c r="D506" t="s">
        <v>736</v>
      </c>
      <c r="E506" t="s">
        <v>1511</v>
      </c>
      <c r="F506" t="s">
        <v>44</v>
      </c>
      <c r="G506" t="s">
        <v>37</v>
      </c>
      <c r="H506" t="s">
        <v>76</v>
      </c>
      <c r="I506" t="s">
        <v>119</v>
      </c>
      <c r="J506">
        <v>9</v>
      </c>
      <c r="K506" s="4">
        <v>270.01</v>
      </c>
      <c r="L506" s="2">
        <v>2430.09</v>
      </c>
      <c r="M506">
        <v>0.2</v>
      </c>
      <c r="N506" s="4">
        <v>662.33</v>
      </c>
      <c r="O506" t="s">
        <v>23</v>
      </c>
      <c r="P506">
        <v>1</v>
      </c>
    </row>
    <row r="507" spans="1:16" x14ac:dyDescent="0.35">
      <c r="A507" t="s">
        <v>1512</v>
      </c>
      <c r="B507" s="10" t="s">
        <v>1513</v>
      </c>
      <c r="C507" s="11" t="str">
        <f t="shared" si="7"/>
        <v>April</v>
      </c>
      <c r="D507" t="s">
        <v>1514</v>
      </c>
      <c r="E507" t="s">
        <v>1515</v>
      </c>
      <c r="F507" t="s">
        <v>19</v>
      </c>
      <c r="G507" t="s">
        <v>57</v>
      </c>
      <c r="H507" t="s">
        <v>76</v>
      </c>
      <c r="I507" t="s">
        <v>177</v>
      </c>
      <c r="J507">
        <v>9</v>
      </c>
      <c r="K507" s="4">
        <v>71.31</v>
      </c>
      <c r="L507" s="2">
        <v>641.79</v>
      </c>
      <c r="M507">
        <v>0.05</v>
      </c>
      <c r="N507" s="4">
        <v>320.68</v>
      </c>
      <c r="O507" t="s">
        <v>31</v>
      </c>
      <c r="P507">
        <v>8</v>
      </c>
    </row>
    <row r="508" spans="1:16" x14ac:dyDescent="0.35">
      <c r="A508" t="s">
        <v>1516</v>
      </c>
      <c r="B508" s="10" t="s">
        <v>450</v>
      </c>
      <c r="C508" s="11" t="str">
        <f t="shared" si="7"/>
        <v>December</v>
      </c>
      <c r="D508" t="s">
        <v>870</v>
      </c>
      <c r="E508" t="s">
        <v>1517</v>
      </c>
      <c r="F508" t="s">
        <v>36</v>
      </c>
      <c r="G508" t="s">
        <v>20</v>
      </c>
      <c r="H508" t="s">
        <v>21</v>
      </c>
      <c r="I508" t="s">
        <v>22</v>
      </c>
      <c r="J508">
        <v>2</v>
      </c>
      <c r="K508" s="4">
        <v>478.6</v>
      </c>
      <c r="L508" s="2">
        <v>957.2</v>
      </c>
      <c r="M508">
        <v>0.1</v>
      </c>
      <c r="N508" s="4">
        <v>245.36</v>
      </c>
      <c r="O508" t="s">
        <v>39</v>
      </c>
      <c r="P508">
        <v>7</v>
      </c>
    </row>
    <row r="509" spans="1:16" x14ac:dyDescent="0.35">
      <c r="A509" t="s">
        <v>1518</v>
      </c>
      <c r="B509" s="10" t="s">
        <v>1519</v>
      </c>
      <c r="C509" s="11" t="str">
        <f t="shared" si="7"/>
        <v>September</v>
      </c>
      <c r="D509" t="s">
        <v>440</v>
      </c>
      <c r="E509" t="s">
        <v>1520</v>
      </c>
      <c r="F509" t="s">
        <v>19</v>
      </c>
      <c r="G509" t="s">
        <v>20</v>
      </c>
      <c r="H509" t="s">
        <v>29</v>
      </c>
      <c r="I509" t="s">
        <v>45</v>
      </c>
      <c r="J509">
        <v>9</v>
      </c>
      <c r="K509" s="4">
        <v>1172.4000000000001</v>
      </c>
      <c r="L509" s="2">
        <v>10551.6</v>
      </c>
      <c r="M509">
        <v>0</v>
      </c>
      <c r="N509" s="4">
        <v>1988.46</v>
      </c>
      <c r="O509" t="s">
        <v>31</v>
      </c>
      <c r="P509">
        <v>4</v>
      </c>
    </row>
    <row r="510" spans="1:16" x14ac:dyDescent="0.35">
      <c r="A510" t="s">
        <v>1521</v>
      </c>
      <c r="B510" s="10" t="s">
        <v>1522</v>
      </c>
      <c r="C510" s="11" t="str">
        <f t="shared" si="7"/>
        <v>September</v>
      </c>
      <c r="D510" t="s">
        <v>324</v>
      </c>
      <c r="E510" t="s">
        <v>1523</v>
      </c>
      <c r="F510" t="s">
        <v>44</v>
      </c>
      <c r="G510" t="s">
        <v>28</v>
      </c>
      <c r="H510" t="s">
        <v>21</v>
      </c>
      <c r="I510" t="s">
        <v>82</v>
      </c>
      <c r="J510">
        <v>9</v>
      </c>
      <c r="K510" s="4">
        <v>1113.0899999999999</v>
      </c>
      <c r="L510" s="2">
        <v>10017.81</v>
      </c>
      <c r="M510">
        <v>0</v>
      </c>
      <c r="N510" s="4">
        <v>5350.5</v>
      </c>
      <c r="O510" t="s">
        <v>39</v>
      </c>
      <c r="P510">
        <v>3</v>
      </c>
    </row>
    <row r="511" spans="1:16" x14ac:dyDescent="0.35">
      <c r="A511" t="s">
        <v>1524</v>
      </c>
      <c r="B511" s="10" t="s">
        <v>1525</v>
      </c>
      <c r="C511" s="11" t="str">
        <f t="shared" si="7"/>
        <v>September</v>
      </c>
      <c r="D511" t="s">
        <v>433</v>
      </c>
      <c r="E511" t="s">
        <v>1526</v>
      </c>
      <c r="F511" t="s">
        <v>36</v>
      </c>
      <c r="G511" t="s">
        <v>57</v>
      </c>
      <c r="H511" t="s">
        <v>29</v>
      </c>
      <c r="I511" t="s">
        <v>110</v>
      </c>
      <c r="J511">
        <v>6</v>
      </c>
      <c r="K511" s="4">
        <v>439.35</v>
      </c>
      <c r="L511" s="2">
        <v>2636.1</v>
      </c>
      <c r="M511">
        <v>0.1</v>
      </c>
      <c r="N511" s="4">
        <v>1080.71</v>
      </c>
      <c r="O511" t="s">
        <v>39</v>
      </c>
      <c r="P511">
        <v>1</v>
      </c>
    </row>
    <row r="512" spans="1:16" x14ac:dyDescent="0.35">
      <c r="A512" t="s">
        <v>1527</v>
      </c>
      <c r="B512" s="10" t="s">
        <v>621</v>
      </c>
      <c r="C512" s="11" t="str">
        <f t="shared" si="7"/>
        <v>February</v>
      </c>
      <c r="D512" t="s">
        <v>42</v>
      </c>
      <c r="E512" t="s">
        <v>1528</v>
      </c>
      <c r="F512" t="s">
        <v>44</v>
      </c>
      <c r="G512" t="s">
        <v>37</v>
      </c>
      <c r="H512" t="s">
        <v>21</v>
      </c>
      <c r="I512" t="s">
        <v>38</v>
      </c>
      <c r="J512">
        <v>4</v>
      </c>
      <c r="K512" s="4">
        <v>199.02</v>
      </c>
      <c r="L512" s="2">
        <v>796.08</v>
      </c>
      <c r="M512">
        <v>0.15</v>
      </c>
      <c r="N512" s="4">
        <v>194.36</v>
      </c>
      <c r="O512" t="s">
        <v>39</v>
      </c>
      <c r="P512">
        <v>4</v>
      </c>
    </row>
    <row r="513" spans="1:16" x14ac:dyDescent="0.35">
      <c r="A513" t="s">
        <v>1529</v>
      </c>
      <c r="B513" s="10" t="s">
        <v>1530</v>
      </c>
      <c r="C513" s="11" t="str">
        <f t="shared" si="7"/>
        <v>October</v>
      </c>
      <c r="D513" t="s">
        <v>1007</v>
      </c>
      <c r="E513" t="s">
        <v>1531</v>
      </c>
      <c r="F513" t="s">
        <v>36</v>
      </c>
      <c r="G513" t="s">
        <v>37</v>
      </c>
      <c r="H513" t="s">
        <v>21</v>
      </c>
      <c r="I513" t="s">
        <v>105</v>
      </c>
      <c r="J513">
        <v>7</v>
      </c>
      <c r="K513" s="4">
        <v>1165.23</v>
      </c>
      <c r="L513" s="2">
        <v>8156.61</v>
      </c>
      <c r="M513">
        <v>0.2</v>
      </c>
      <c r="N513" s="4">
        <v>2729.44</v>
      </c>
      <c r="O513" t="s">
        <v>23</v>
      </c>
      <c r="P513">
        <v>9</v>
      </c>
    </row>
    <row r="514" spans="1:16" x14ac:dyDescent="0.35">
      <c r="A514" t="s">
        <v>1532</v>
      </c>
      <c r="B514" s="10" t="s">
        <v>1110</v>
      </c>
      <c r="C514" s="11" t="str">
        <f t="shared" si="7"/>
        <v>March</v>
      </c>
      <c r="D514" t="s">
        <v>385</v>
      </c>
      <c r="E514" t="s">
        <v>1533</v>
      </c>
      <c r="F514" t="s">
        <v>36</v>
      </c>
      <c r="G514" t="s">
        <v>37</v>
      </c>
      <c r="H514" t="s">
        <v>21</v>
      </c>
      <c r="I514" t="s">
        <v>105</v>
      </c>
      <c r="J514">
        <v>3</v>
      </c>
      <c r="K514" s="4">
        <v>384.62</v>
      </c>
      <c r="L514" s="2">
        <v>1153.8599999999999</v>
      </c>
      <c r="M514">
        <v>0.3</v>
      </c>
      <c r="N514" s="4">
        <v>153.9</v>
      </c>
      <c r="O514" t="s">
        <v>39</v>
      </c>
      <c r="P514">
        <v>2</v>
      </c>
    </row>
    <row r="515" spans="1:16" x14ac:dyDescent="0.35">
      <c r="A515" t="s">
        <v>1534</v>
      </c>
      <c r="B515" s="10" t="s">
        <v>650</v>
      </c>
      <c r="C515" s="11" t="str">
        <f t="shared" ref="C515:C578" si="8">TEXT(B515,"MMMM")</f>
        <v>June</v>
      </c>
      <c r="D515" t="s">
        <v>337</v>
      </c>
      <c r="E515" t="s">
        <v>1535</v>
      </c>
      <c r="F515" t="s">
        <v>44</v>
      </c>
      <c r="G515" t="s">
        <v>57</v>
      </c>
      <c r="H515" t="s">
        <v>21</v>
      </c>
      <c r="I515" t="s">
        <v>71</v>
      </c>
      <c r="J515">
        <v>2</v>
      </c>
      <c r="K515" s="4">
        <v>237.28</v>
      </c>
      <c r="L515" s="2">
        <v>474.56</v>
      </c>
      <c r="M515">
        <v>0.05</v>
      </c>
      <c r="N515" s="4">
        <v>116.84</v>
      </c>
      <c r="O515" t="s">
        <v>39</v>
      </c>
      <c r="P515">
        <v>5</v>
      </c>
    </row>
    <row r="516" spans="1:16" x14ac:dyDescent="0.35">
      <c r="A516" t="s">
        <v>1536</v>
      </c>
      <c r="B516" s="10" t="s">
        <v>1426</v>
      </c>
      <c r="C516" s="11" t="str">
        <f t="shared" si="8"/>
        <v>November</v>
      </c>
      <c r="D516" t="s">
        <v>479</v>
      </c>
      <c r="E516" t="s">
        <v>1537</v>
      </c>
      <c r="F516" t="s">
        <v>44</v>
      </c>
      <c r="G516" t="s">
        <v>37</v>
      </c>
      <c r="H516" t="s">
        <v>29</v>
      </c>
      <c r="I516" t="s">
        <v>224</v>
      </c>
      <c r="J516">
        <v>2</v>
      </c>
      <c r="K516" s="4">
        <v>175.22</v>
      </c>
      <c r="L516" s="2">
        <v>350.44</v>
      </c>
      <c r="M516">
        <v>0</v>
      </c>
      <c r="N516" s="4">
        <v>85.87</v>
      </c>
      <c r="O516" t="s">
        <v>23</v>
      </c>
      <c r="P516">
        <v>4</v>
      </c>
    </row>
    <row r="517" spans="1:16" x14ac:dyDescent="0.35">
      <c r="A517" t="s">
        <v>1538</v>
      </c>
      <c r="B517" s="10" t="s">
        <v>155</v>
      </c>
      <c r="C517" s="11" t="str">
        <f t="shared" si="8"/>
        <v>March</v>
      </c>
      <c r="D517" t="s">
        <v>85</v>
      </c>
      <c r="E517" t="s">
        <v>1539</v>
      </c>
      <c r="F517" t="s">
        <v>19</v>
      </c>
      <c r="G517" t="s">
        <v>28</v>
      </c>
      <c r="H517" t="s">
        <v>29</v>
      </c>
      <c r="I517" t="s">
        <v>62</v>
      </c>
      <c r="J517">
        <v>1</v>
      </c>
      <c r="K517" s="4">
        <v>443.93</v>
      </c>
      <c r="L517" s="2">
        <v>443.93</v>
      </c>
      <c r="M517">
        <v>0.3</v>
      </c>
      <c r="N517" s="4">
        <v>73.98</v>
      </c>
      <c r="O517" t="s">
        <v>23</v>
      </c>
      <c r="P517">
        <v>6</v>
      </c>
    </row>
    <row r="518" spans="1:16" x14ac:dyDescent="0.35">
      <c r="A518" t="s">
        <v>1540</v>
      </c>
      <c r="B518" s="10" t="s">
        <v>59</v>
      </c>
      <c r="C518" s="11" t="str">
        <f t="shared" si="8"/>
        <v>January</v>
      </c>
      <c r="D518" t="s">
        <v>1073</v>
      </c>
      <c r="E518" t="s">
        <v>1541</v>
      </c>
      <c r="F518" t="s">
        <v>36</v>
      </c>
      <c r="G518" t="s">
        <v>57</v>
      </c>
      <c r="H518" t="s">
        <v>29</v>
      </c>
      <c r="I518" t="s">
        <v>45</v>
      </c>
      <c r="J518">
        <v>8</v>
      </c>
      <c r="K518" s="4">
        <v>579.14</v>
      </c>
      <c r="L518" s="2">
        <v>4633.12</v>
      </c>
      <c r="M518">
        <v>0.05</v>
      </c>
      <c r="N518" s="4">
        <v>2080.5500000000002</v>
      </c>
      <c r="O518" t="s">
        <v>39</v>
      </c>
      <c r="P518">
        <v>4</v>
      </c>
    </row>
    <row r="519" spans="1:16" x14ac:dyDescent="0.35">
      <c r="A519" t="s">
        <v>1542</v>
      </c>
      <c r="B519" s="10" t="s">
        <v>1543</v>
      </c>
      <c r="C519" s="11" t="str">
        <f t="shared" si="8"/>
        <v>September</v>
      </c>
      <c r="D519" t="s">
        <v>318</v>
      </c>
      <c r="E519" t="s">
        <v>1544</v>
      </c>
      <c r="F519" t="s">
        <v>44</v>
      </c>
      <c r="G519" t="s">
        <v>28</v>
      </c>
      <c r="H519" t="s">
        <v>21</v>
      </c>
      <c r="I519" t="s">
        <v>105</v>
      </c>
      <c r="J519">
        <v>4</v>
      </c>
      <c r="K519" s="4">
        <v>98.04</v>
      </c>
      <c r="L519" s="2">
        <v>392.16</v>
      </c>
      <c r="M519">
        <v>0.15</v>
      </c>
      <c r="N519" s="4">
        <v>67.72</v>
      </c>
      <c r="O519" t="s">
        <v>31</v>
      </c>
      <c r="P519">
        <v>7</v>
      </c>
    </row>
    <row r="520" spans="1:16" x14ac:dyDescent="0.35">
      <c r="A520" t="s">
        <v>1545</v>
      </c>
      <c r="B520" s="10" t="s">
        <v>661</v>
      </c>
      <c r="C520" s="11" t="str">
        <f t="shared" si="8"/>
        <v>July</v>
      </c>
      <c r="D520" t="s">
        <v>618</v>
      </c>
      <c r="E520" t="s">
        <v>1546</v>
      </c>
      <c r="F520" t="s">
        <v>19</v>
      </c>
      <c r="G520" t="s">
        <v>20</v>
      </c>
      <c r="H520" t="s">
        <v>76</v>
      </c>
      <c r="I520" t="s">
        <v>77</v>
      </c>
      <c r="J520">
        <v>10</v>
      </c>
      <c r="K520" s="4">
        <v>887.69</v>
      </c>
      <c r="L520" s="2">
        <v>8876.9</v>
      </c>
      <c r="M520">
        <v>0.15</v>
      </c>
      <c r="N520" s="4">
        <v>1976.28</v>
      </c>
      <c r="O520" t="s">
        <v>23</v>
      </c>
      <c r="P520">
        <v>2</v>
      </c>
    </row>
    <row r="521" spans="1:16" x14ac:dyDescent="0.35">
      <c r="A521" t="s">
        <v>1547</v>
      </c>
      <c r="B521" s="10" t="s">
        <v>496</v>
      </c>
      <c r="C521" s="11" t="str">
        <f t="shared" si="8"/>
        <v>July</v>
      </c>
      <c r="D521" t="s">
        <v>1410</v>
      </c>
      <c r="E521" t="s">
        <v>1548</v>
      </c>
      <c r="F521" t="s">
        <v>36</v>
      </c>
      <c r="G521" t="s">
        <v>28</v>
      </c>
      <c r="H521" t="s">
        <v>76</v>
      </c>
      <c r="I521" t="s">
        <v>128</v>
      </c>
      <c r="J521">
        <v>1</v>
      </c>
      <c r="K521" s="4">
        <v>1055.78</v>
      </c>
      <c r="L521" s="2">
        <v>1055.78</v>
      </c>
      <c r="M521">
        <v>0.05</v>
      </c>
      <c r="N521" s="4">
        <v>343.54</v>
      </c>
      <c r="O521" t="s">
        <v>23</v>
      </c>
      <c r="P521">
        <v>1</v>
      </c>
    </row>
    <row r="522" spans="1:16" x14ac:dyDescent="0.35">
      <c r="A522" t="s">
        <v>1549</v>
      </c>
      <c r="B522" s="10" t="s">
        <v>1550</v>
      </c>
      <c r="C522" s="11" t="str">
        <f t="shared" si="8"/>
        <v>May</v>
      </c>
      <c r="D522" t="s">
        <v>55</v>
      </c>
      <c r="E522" t="s">
        <v>1551</v>
      </c>
      <c r="F522" t="s">
        <v>36</v>
      </c>
      <c r="G522" t="s">
        <v>28</v>
      </c>
      <c r="H522" t="s">
        <v>29</v>
      </c>
      <c r="I522" t="s">
        <v>110</v>
      </c>
      <c r="J522">
        <v>8</v>
      </c>
      <c r="K522" s="4">
        <v>489.69</v>
      </c>
      <c r="L522" s="2">
        <v>3917.52</v>
      </c>
      <c r="M522">
        <v>0.1</v>
      </c>
      <c r="N522" s="4">
        <v>848.05</v>
      </c>
      <c r="O522" t="s">
        <v>39</v>
      </c>
      <c r="P522">
        <v>10</v>
      </c>
    </row>
    <row r="523" spans="1:16" x14ac:dyDescent="0.35">
      <c r="A523" t="s">
        <v>1552</v>
      </c>
      <c r="B523" s="10" t="s">
        <v>922</v>
      </c>
      <c r="C523" s="11" t="str">
        <f t="shared" si="8"/>
        <v>August</v>
      </c>
      <c r="D523" t="s">
        <v>1448</v>
      </c>
      <c r="E523" t="s">
        <v>1553</v>
      </c>
      <c r="F523" t="s">
        <v>19</v>
      </c>
      <c r="G523" t="s">
        <v>20</v>
      </c>
      <c r="H523" t="s">
        <v>29</v>
      </c>
      <c r="I523" t="s">
        <v>62</v>
      </c>
      <c r="J523">
        <v>9</v>
      </c>
      <c r="K523" s="4">
        <v>1086.3399999999999</v>
      </c>
      <c r="L523" s="2">
        <v>9777.06</v>
      </c>
      <c r="M523">
        <v>0.15</v>
      </c>
      <c r="N523" s="4">
        <v>1812.04</v>
      </c>
      <c r="O523" t="s">
        <v>31</v>
      </c>
      <c r="P523">
        <v>10</v>
      </c>
    </row>
    <row r="524" spans="1:16" x14ac:dyDescent="0.35">
      <c r="A524" t="s">
        <v>1554</v>
      </c>
      <c r="B524" s="10" t="s">
        <v>812</v>
      </c>
      <c r="C524" s="11" t="str">
        <f t="shared" si="8"/>
        <v>April</v>
      </c>
      <c r="D524" t="s">
        <v>222</v>
      </c>
      <c r="E524" t="s">
        <v>1555</v>
      </c>
      <c r="F524" t="s">
        <v>19</v>
      </c>
      <c r="G524" t="s">
        <v>37</v>
      </c>
      <c r="H524" t="s">
        <v>21</v>
      </c>
      <c r="I524" t="s">
        <v>71</v>
      </c>
      <c r="J524">
        <v>3</v>
      </c>
      <c r="K524" s="4">
        <v>483.82</v>
      </c>
      <c r="L524" s="2">
        <v>1451.46</v>
      </c>
      <c r="M524">
        <v>0.1</v>
      </c>
      <c r="N524" s="4">
        <v>482.87</v>
      </c>
      <c r="O524" t="s">
        <v>39</v>
      </c>
      <c r="P524">
        <v>2</v>
      </c>
    </row>
    <row r="525" spans="1:16" x14ac:dyDescent="0.35">
      <c r="A525" t="s">
        <v>1556</v>
      </c>
      <c r="B525" s="10" t="s">
        <v>1557</v>
      </c>
      <c r="C525" s="11" t="str">
        <f t="shared" si="8"/>
        <v>December</v>
      </c>
      <c r="D525" t="s">
        <v>530</v>
      </c>
      <c r="E525" t="s">
        <v>1558</v>
      </c>
      <c r="F525" t="s">
        <v>19</v>
      </c>
      <c r="G525" t="s">
        <v>57</v>
      </c>
      <c r="H525" t="s">
        <v>76</v>
      </c>
      <c r="I525" t="s">
        <v>87</v>
      </c>
      <c r="J525">
        <v>3</v>
      </c>
      <c r="K525" s="4">
        <v>867.68</v>
      </c>
      <c r="L525" s="2">
        <v>2603.04</v>
      </c>
      <c r="M525">
        <v>0</v>
      </c>
      <c r="N525" s="4">
        <v>1336.72</v>
      </c>
      <c r="O525" t="s">
        <v>31</v>
      </c>
      <c r="P525">
        <v>9</v>
      </c>
    </row>
    <row r="526" spans="1:16" x14ac:dyDescent="0.35">
      <c r="A526" t="s">
        <v>1559</v>
      </c>
      <c r="B526" s="10" t="s">
        <v>202</v>
      </c>
      <c r="C526" s="11" t="str">
        <f t="shared" si="8"/>
        <v>July</v>
      </c>
      <c r="D526" t="s">
        <v>367</v>
      </c>
      <c r="E526" t="s">
        <v>1560</v>
      </c>
      <c r="F526" t="s">
        <v>36</v>
      </c>
      <c r="G526" t="s">
        <v>57</v>
      </c>
      <c r="H526" t="s">
        <v>21</v>
      </c>
      <c r="I526" t="s">
        <v>82</v>
      </c>
      <c r="J526">
        <v>9</v>
      </c>
      <c r="K526" s="4">
        <v>742.25</v>
      </c>
      <c r="L526" s="2">
        <v>6680.25</v>
      </c>
      <c r="M526">
        <v>0.05</v>
      </c>
      <c r="N526" s="4">
        <v>2529.16</v>
      </c>
      <c r="O526" t="s">
        <v>23</v>
      </c>
      <c r="P526">
        <v>3</v>
      </c>
    </row>
    <row r="527" spans="1:16" x14ac:dyDescent="0.35">
      <c r="A527" t="s">
        <v>1561</v>
      </c>
      <c r="B527" s="10" t="s">
        <v>405</v>
      </c>
      <c r="C527" s="11" t="str">
        <f t="shared" si="8"/>
        <v>June</v>
      </c>
      <c r="D527" t="s">
        <v>42</v>
      </c>
      <c r="E527" t="s">
        <v>1562</v>
      </c>
      <c r="F527" t="s">
        <v>44</v>
      </c>
      <c r="G527" t="s">
        <v>57</v>
      </c>
      <c r="H527" t="s">
        <v>29</v>
      </c>
      <c r="I527" t="s">
        <v>224</v>
      </c>
      <c r="J527">
        <v>3</v>
      </c>
      <c r="K527" s="4">
        <v>927.61</v>
      </c>
      <c r="L527" s="2">
        <v>2782.83</v>
      </c>
      <c r="M527">
        <v>0</v>
      </c>
      <c r="N527" s="4">
        <v>1063.51</v>
      </c>
      <c r="O527" t="s">
        <v>23</v>
      </c>
      <c r="P527">
        <v>3</v>
      </c>
    </row>
    <row r="528" spans="1:16" x14ac:dyDescent="0.35">
      <c r="A528" t="s">
        <v>1563</v>
      </c>
      <c r="B528" s="10" t="s">
        <v>1207</v>
      </c>
      <c r="C528" s="11" t="str">
        <f t="shared" si="8"/>
        <v>September</v>
      </c>
      <c r="D528" t="s">
        <v>822</v>
      </c>
      <c r="E528" t="s">
        <v>1564</v>
      </c>
      <c r="F528" t="s">
        <v>19</v>
      </c>
      <c r="G528" t="s">
        <v>20</v>
      </c>
      <c r="H528" t="s">
        <v>29</v>
      </c>
      <c r="I528" t="s">
        <v>224</v>
      </c>
      <c r="J528">
        <v>4</v>
      </c>
      <c r="K528" s="4">
        <v>24.17</v>
      </c>
      <c r="L528" s="2">
        <v>96.68</v>
      </c>
      <c r="M528">
        <v>0.1</v>
      </c>
      <c r="N528" s="4">
        <v>47.43</v>
      </c>
      <c r="O528" t="s">
        <v>23</v>
      </c>
      <c r="P528">
        <v>8</v>
      </c>
    </row>
    <row r="529" spans="1:16" x14ac:dyDescent="0.35">
      <c r="A529" t="s">
        <v>1565</v>
      </c>
      <c r="B529" s="10" t="s">
        <v>509</v>
      </c>
      <c r="C529" s="11" t="str">
        <f t="shared" si="8"/>
        <v>February</v>
      </c>
      <c r="D529" t="s">
        <v>497</v>
      </c>
      <c r="E529" t="s">
        <v>1566</v>
      </c>
      <c r="F529" t="s">
        <v>19</v>
      </c>
      <c r="G529" t="s">
        <v>20</v>
      </c>
      <c r="H529" t="s">
        <v>29</v>
      </c>
      <c r="I529" t="s">
        <v>224</v>
      </c>
      <c r="J529">
        <v>10</v>
      </c>
      <c r="K529" s="4">
        <v>798.18</v>
      </c>
      <c r="L529" s="2">
        <v>7981.8</v>
      </c>
      <c r="M529">
        <v>0.15</v>
      </c>
      <c r="N529" s="4">
        <v>2618.42</v>
      </c>
      <c r="O529" t="s">
        <v>31</v>
      </c>
      <c r="P529">
        <v>9</v>
      </c>
    </row>
    <row r="530" spans="1:16" x14ac:dyDescent="0.35">
      <c r="A530" t="s">
        <v>1567</v>
      </c>
      <c r="B530" s="10" t="s">
        <v>439</v>
      </c>
      <c r="C530" s="11" t="str">
        <f t="shared" si="8"/>
        <v>March</v>
      </c>
      <c r="D530" t="s">
        <v>976</v>
      </c>
      <c r="E530" t="s">
        <v>1568</v>
      </c>
      <c r="F530" t="s">
        <v>19</v>
      </c>
      <c r="G530" t="s">
        <v>57</v>
      </c>
      <c r="H530" t="s">
        <v>76</v>
      </c>
      <c r="I530" t="s">
        <v>177</v>
      </c>
      <c r="J530">
        <v>9</v>
      </c>
      <c r="K530" s="4">
        <v>987.74</v>
      </c>
      <c r="L530" s="2">
        <v>8889.66</v>
      </c>
      <c r="M530">
        <v>0.05</v>
      </c>
      <c r="N530" s="4">
        <v>4479.6000000000004</v>
      </c>
      <c r="O530" t="s">
        <v>31</v>
      </c>
      <c r="P530">
        <v>3</v>
      </c>
    </row>
    <row r="531" spans="1:16" x14ac:dyDescent="0.35">
      <c r="A531" t="s">
        <v>1569</v>
      </c>
      <c r="B531" s="10" t="s">
        <v>621</v>
      </c>
      <c r="C531" s="11" t="str">
        <f t="shared" si="8"/>
        <v>February</v>
      </c>
      <c r="D531" t="s">
        <v>489</v>
      </c>
      <c r="E531" t="s">
        <v>1570</v>
      </c>
      <c r="F531" t="s">
        <v>36</v>
      </c>
      <c r="G531" t="s">
        <v>28</v>
      </c>
      <c r="H531" t="s">
        <v>29</v>
      </c>
      <c r="I531" t="s">
        <v>62</v>
      </c>
      <c r="J531">
        <v>10</v>
      </c>
      <c r="K531" s="4">
        <v>1008.86</v>
      </c>
      <c r="L531" s="2">
        <v>10088.6</v>
      </c>
      <c r="M531">
        <v>0.1</v>
      </c>
      <c r="N531" s="4">
        <v>3791.3</v>
      </c>
      <c r="O531" t="s">
        <v>31</v>
      </c>
      <c r="P531">
        <v>3</v>
      </c>
    </row>
    <row r="532" spans="1:16" x14ac:dyDescent="0.35">
      <c r="A532" t="s">
        <v>1571</v>
      </c>
      <c r="B532" s="10" t="s">
        <v>25</v>
      </c>
      <c r="C532" s="11" t="str">
        <f t="shared" si="8"/>
        <v>October</v>
      </c>
      <c r="D532" t="s">
        <v>856</v>
      </c>
      <c r="E532" t="s">
        <v>1572</v>
      </c>
      <c r="F532" t="s">
        <v>44</v>
      </c>
      <c r="G532" t="s">
        <v>57</v>
      </c>
      <c r="H532" t="s">
        <v>21</v>
      </c>
      <c r="I532" t="s">
        <v>38</v>
      </c>
      <c r="J532">
        <v>10</v>
      </c>
      <c r="K532" s="4">
        <v>799.89</v>
      </c>
      <c r="L532" s="2">
        <v>7998.9</v>
      </c>
      <c r="M532">
        <v>0.3</v>
      </c>
      <c r="N532" s="4">
        <v>1747.03</v>
      </c>
      <c r="O532" t="s">
        <v>31</v>
      </c>
      <c r="P532">
        <v>2</v>
      </c>
    </row>
    <row r="533" spans="1:16" x14ac:dyDescent="0.35">
      <c r="A533" t="s">
        <v>1573</v>
      </c>
      <c r="B533" s="10" t="s">
        <v>125</v>
      </c>
      <c r="C533" s="11" t="str">
        <f t="shared" si="8"/>
        <v>October</v>
      </c>
      <c r="D533" t="s">
        <v>1574</v>
      </c>
      <c r="E533" t="s">
        <v>1575</v>
      </c>
      <c r="F533" t="s">
        <v>44</v>
      </c>
      <c r="G533" t="s">
        <v>28</v>
      </c>
      <c r="H533" t="s">
        <v>76</v>
      </c>
      <c r="I533" t="s">
        <v>87</v>
      </c>
      <c r="J533">
        <v>6</v>
      </c>
      <c r="K533" s="4">
        <v>1079.0899999999999</v>
      </c>
      <c r="L533" s="2">
        <v>6474.54</v>
      </c>
      <c r="M533">
        <v>0</v>
      </c>
      <c r="N533" s="4">
        <v>1596.77</v>
      </c>
      <c r="O533" t="s">
        <v>31</v>
      </c>
      <c r="P533">
        <v>2</v>
      </c>
    </row>
    <row r="534" spans="1:16" x14ac:dyDescent="0.35">
      <c r="A534" t="s">
        <v>1576</v>
      </c>
      <c r="B534" s="10" t="s">
        <v>1577</v>
      </c>
      <c r="C534" s="11" t="str">
        <f t="shared" si="8"/>
        <v>April</v>
      </c>
      <c r="D534" t="s">
        <v>618</v>
      </c>
      <c r="E534" t="s">
        <v>1578</v>
      </c>
      <c r="F534" t="s">
        <v>36</v>
      </c>
      <c r="G534" t="s">
        <v>20</v>
      </c>
      <c r="H534" t="s">
        <v>21</v>
      </c>
      <c r="I534" t="s">
        <v>38</v>
      </c>
      <c r="J534">
        <v>6</v>
      </c>
      <c r="K534" s="4">
        <v>641.91999999999996</v>
      </c>
      <c r="L534" s="2">
        <v>3851.52</v>
      </c>
      <c r="M534">
        <v>0.2</v>
      </c>
      <c r="N534" s="4">
        <v>1436.04</v>
      </c>
      <c r="O534" t="s">
        <v>23</v>
      </c>
      <c r="P534">
        <v>9</v>
      </c>
    </row>
    <row r="535" spans="1:16" x14ac:dyDescent="0.35">
      <c r="A535" t="s">
        <v>1579</v>
      </c>
      <c r="B535" s="10" t="s">
        <v>975</v>
      </c>
      <c r="C535" s="11" t="str">
        <f t="shared" si="8"/>
        <v>November</v>
      </c>
      <c r="D535" t="s">
        <v>1059</v>
      </c>
      <c r="E535" t="s">
        <v>1580</v>
      </c>
      <c r="F535" t="s">
        <v>44</v>
      </c>
      <c r="G535" t="s">
        <v>57</v>
      </c>
      <c r="H535" t="s">
        <v>29</v>
      </c>
      <c r="I535" t="s">
        <v>45</v>
      </c>
      <c r="J535">
        <v>10</v>
      </c>
      <c r="K535" s="4">
        <v>1121.99</v>
      </c>
      <c r="L535" s="2">
        <v>11219.9</v>
      </c>
      <c r="M535">
        <v>0.3</v>
      </c>
      <c r="N535" s="4">
        <v>3417.44</v>
      </c>
      <c r="O535" t="s">
        <v>31</v>
      </c>
      <c r="P535">
        <v>10</v>
      </c>
    </row>
    <row r="536" spans="1:16" x14ac:dyDescent="0.35">
      <c r="A536" t="s">
        <v>1581</v>
      </c>
      <c r="B536" s="10" t="s">
        <v>545</v>
      </c>
      <c r="C536" s="11" t="str">
        <f t="shared" si="8"/>
        <v>April</v>
      </c>
      <c r="D536" t="s">
        <v>618</v>
      </c>
      <c r="E536" t="s">
        <v>1582</v>
      </c>
      <c r="F536" t="s">
        <v>36</v>
      </c>
      <c r="G536" t="s">
        <v>57</v>
      </c>
      <c r="H536" t="s">
        <v>21</v>
      </c>
      <c r="I536" t="s">
        <v>82</v>
      </c>
      <c r="J536">
        <v>9</v>
      </c>
      <c r="K536" s="4">
        <v>880.44</v>
      </c>
      <c r="L536" s="2">
        <v>7923.96</v>
      </c>
      <c r="M536">
        <v>0.15</v>
      </c>
      <c r="N536" s="4">
        <v>2377.5700000000002</v>
      </c>
      <c r="O536" t="s">
        <v>31</v>
      </c>
      <c r="P536">
        <v>1</v>
      </c>
    </row>
    <row r="537" spans="1:16" x14ac:dyDescent="0.35">
      <c r="A537" t="s">
        <v>1583</v>
      </c>
      <c r="B537" s="10" t="s">
        <v>828</v>
      </c>
      <c r="C537" s="11" t="str">
        <f t="shared" si="8"/>
        <v>April</v>
      </c>
      <c r="D537" t="s">
        <v>479</v>
      </c>
      <c r="E537" t="s">
        <v>1584</v>
      </c>
      <c r="F537" t="s">
        <v>44</v>
      </c>
      <c r="G537" t="s">
        <v>28</v>
      </c>
      <c r="H537" t="s">
        <v>29</v>
      </c>
      <c r="I537" t="s">
        <v>30</v>
      </c>
      <c r="J537">
        <v>8</v>
      </c>
      <c r="K537" s="4">
        <v>758.04</v>
      </c>
      <c r="L537" s="2">
        <v>6064.32</v>
      </c>
      <c r="M537">
        <v>0</v>
      </c>
      <c r="N537" s="4">
        <v>1546.48</v>
      </c>
      <c r="O537" t="s">
        <v>31</v>
      </c>
      <c r="P537">
        <v>6</v>
      </c>
    </row>
    <row r="538" spans="1:16" x14ac:dyDescent="0.35">
      <c r="A538" t="s">
        <v>1585</v>
      </c>
      <c r="B538" s="10" t="s">
        <v>1586</v>
      </c>
      <c r="C538" s="11" t="str">
        <f t="shared" si="8"/>
        <v>May</v>
      </c>
      <c r="D538" t="s">
        <v>48</v>
      </c>
      <c r="E538" t="s">
        <v>1587</v>
      </c>
      <c r="F538" t="s">
        <v>44</v>
      </c>
      <c r="G538" t="s">
        <v>57</v>
      </c>
      <c r="H538" t="s">
        <v>76</v>
      </c>
      <c r="I538" t="s">
        <v>177</v>
      </c>
      <c r="J538">
        <v>4</v>
      </c>
      <c r="K538" s="4">
        <v>33.33</v>
      </c>
      <c r="L538" s="2">
        <v>133.32</v>
      </c>
      <c r="M538">
        <v>0.05</v>
      </c>
      <c r="N538" s="4">
        <v>34.700000000000003</v>
      </c>
      <c r="O538" t="s">
        <v>23</v>
      </c>
      <c r="P538">
        <v>9</v>
      </c>
    </row>
    <row r="539" spans="1:16" x14ac:dyDescent="0.35">
      <c r="A539" t="s">
        <v>1588</v>
      </c>
      <c r="B539" s="10" t="s">
        <v>1148</v>
      </c>
      <c r="C539" s="11" t="str">
        <f t="shared" si="8"/>
        <v>October</v>
      </c>
      <c r="D539" t="s">
        <v>479</v>
      </c>
      <c r="E539" t="s">
        <v>1589</v>
      </c>
      <c r="F539" t="s">
        <v>36</v>
      </c>
      <c r="G539" t="s">
        <v>37</v>
      </c>
      <c r="H539" t="s">
        <v>76</v>
      </c>
      <c r="I539" t="s">
        <v>77</v>
      </c>
      <c r="J539">
        <v>2</v>
      </c>
      <c r="K539" s="4">
        <v>829.29</v>
      </c>
      <c r="L539" s="2">
        <v>1658.58</v>
      </c>
      <c r="M539">
        <v>0.1</v>
      </c>
      <c r="N539" s="4">
        <v>584.52</v>
      </c>
      <c r="O539" t="s">
        <v>31</v>
      </c>
      <c r="P539">
        <v>6</v>
      </c>
    </row>
    <row r="540" spans="1:16" x14ac:dyDescent="0.35">
      <c r="A540" t="s">
        <v>1590</v>
      </c>
      <c r="B540" s="10" t="s">
        <v>1418</v>
      </c>
      <c r="C540" s="11" t="str">
        <f t="shared" si="8"/>
        <v>March</v>
      </c>
      <c r="D540" t="s">
        <v>378</v>
      </c>
      <c r="E540" t="s">
        <v>1591</v>
      </c>
      <c r="F540" t="s">
        <v>44</v>
      </c>
      <c r="G540" t="s">
        <v>57</v>
      </c>
      <c r="H540" t="s">
        <v>76</v>
      </c>
      <c r="I540" t="s">
        <v>128</v>
      </c>
      <c r="J540">
        <v>8</v>
      </c>
      <c r="K540" s="4">
        <v>960.76</v>
      </c>
      <c r="L540" s="2">
        <v>7686.08</v>
      </c>
      <c r="M540">
        <v>0.3</v>
      </c>
      <c r="N540" s="4">
        <v>2666.98</v>
      </c>
      <c r="O540" t="s">
        <v>39</v>
      </c>
      <c r="P540">
        <v>7</v>
      </c>
    </row>
    <row r="541" spans="1:16" x14ac:dyDescent="0.35">
      <c r="A541" t="s">
        <v>1592</v>
      </c>
      <c r="B541" s="10" t="s">
        <v>1593</v>
      </c>
      <c r="C541" s="11" t="str">
        <f t="shared" si="8"/>
        <v>October</v>
      </c>
      <c r="D541" t="s">
        <v>122</v>
      </c>
      <c r="E541" t="s">
        <v>1594</v>
      </c>
      <c r="F541" t="s">
        <v>36</v>
      </c>
      <c r="G541" t="s">
        <v>37</v>
      </c>
      <c r="H541" t="s">
        <v>21</v>
      </c>
      <c r="I541" t="s">
        <v>22</v>
      </c>
      <c r="J541">
        <v>9</v>
      </c>
      <c r="K541" s="4">
        <v>373.23</v>
      </c>
      <c r="L541" s="2">
        <v>3359.07</v>
      </c>
      <c r="M541">
        <v>0.3</v>
      </c>
      <c r="N541" s="4">
        <v>655.37</v>
      </c>
      <c r="O541" t="s">
        <v>23</v>
      </c>
      <c r="P541">
        <v>6</v>
      </c>
    </row>
    <row r="542" spans="1:16" x14ac:dyDescent="0.35">
      <c r="A542" t="s">
        <v>1595</v>
      </c>
      <c r="B542" s="10" t="s">
        <v>835</v>
      </c>
      <c r="C542" s="11" t="str">
        <f t="shared" si="8"/>
        <v>July</v>
      </c>
      <c r="D542" t="s">
        <v>378</v>
      </c>
      <c r="E542" t="s">
        <v>1596</v>
      </c>
      <c r="F542" t="s">
        <v>19</v>
      </c>
      <c r="G542" t="s">
        <v>37</v>
      </c>
      <c r="H542" t="s">
        <v>76</v>
      </c>
      <c r="I542" t="s">
        <v>77</v>
      </c>
      <c r="J542">
        <v>3</v>
      </c>
      <c r="K542" s="4">
        <v>350.94</v>
      </c>
      <c r="L542" s="2">
        <v>1052.82</v>
      </c>
      <c r="M542">
        <v>0</v>
      </c>
      <c r="N542" s="4">
        <v>436.22</v>
      </c>
      <c r="O542" t="s">
        <v>23</v>
      </c>
      <c r="P542">
        <v>10</v>
      </c>
    </row>
    <row r="543" spans="1:16" x14ac:dyDescent="0.35">
      <c r="A543" t="s">
        <v>1597</v>
      </c>
      <c r="B543" s="10" t="s">
        <v>1337</v>
      </c>
      <c r="C543" s="11" t="str">
        <f t="shared" si="8"/>
        <v>June</v>
      </c>
      <c r="D543" t="s">
        <v>349</v>
      </c>
      <c r="E543" t="s">
        <v>1598</v>
      </c>
      <c r="F543" t="s">
        <v>36</v>
      </c>
      <c r="G543" t="s">
        <v>57</v>
      </c>
      <c r="H543" t="s">
        <v>76</v>
      </c>
      <c r="I543" t="s">
        <v>119</v>
      </c>
      <c r="J543">
        <v>10</v>
      </c>
      <c r="K543" s="4">
        <v>157.88</v>
      </c>
      <c r="L543" s="2">
        <v>1578.8</v>
      </c>
      <c r="M543">
        <v>0.1</v>
      </c>
      <c r="N543" s="4">
        <v>380.66</v>
      </c>
      <c r="O543" t="s">
        <v>39</v>
      </c>
      <c r="P543">
        <v>2</v>
      </c>
    </row>
    <row r="544" spans="1:16" x14ac:dyDescent="0.35">
      <c r="A544" t="s">
        <v>1599</v>
      </c>
      <c r="B544" s="10" t="s">
        <v>1600</v>
      </c>
      <c r="C544" s="11" t="str">
        <f t="shared" si="8"/>
        <v>June</v>
      </c>
      <c r="D544" t="s">
        <v>500</v>
      </c>
      <c r="E544" t="s">
        <v>1601</v>
      </c>
      <c r="F544" t="s">
        <v>36</v>
      </c>
      <c r="G544" t="s">
        <v>57</v>
      </c>
      <c r="H544" t="s">
        <v>76</v>
      </c>
      <c r="I544" t="s">
        <v>119</v>
      </c>
      <c r="J544">
        <v>6</v>
      </c>
      <c r="K544" s="4">
        <v>553.25</v>
      </c>
      <c r="L544" s="2">
        <v>3319.5</v>
      </c>
      <c r="M544">
        <v>0.1</v>
      </c>
      <c r="N544" s="4">
        <v>1384.86</v>
      </c>
      <c r="O544" t="s">
        <v>31</v>
      </c>
      <c r="P544">
        <v>4</v>
      </c>
    </row>
    <row r="545" spans="1:16" x14ac:dyDescent="0.35">
      <c r="A545" t="s">
        <v>1602</v>
      </c>
      <c r="B545" s="10" t="s">
        <v>1603</v>
      </c>
      <c r="C545" s="11" t="str">
        <f t="shared" si="8"/>
        <v>March</v>
      </c>
      <c r="D545" t="s">
        <v>1604</v>
      </c>
      <c r="E545" t="s">
        <v>1605</v>
      </c>
      <c r="F545" t="s">
        <v>44</v>
      </c>
      <c r="G545" t="s">
        <v>28</v>
      </c>
      <c r="H545" t="s">
        <v>29</v>
      </c>
      <c r="I545" t="s">
        <v>45</v>
      </c>
      <c r="J545">
        <v>9</v>
      </c>
      <c r="K545" s="4">
        <v>49.42</v>
      </c>
      <c r="L545" s="2">
        <v>444.78</v>
      </c>
      <c r="M545">
        <v>0.15</v>
      </c>
      <c r="N545" s="4">
        <v>71.08</v>
      </c>
      <c r="O545" t="s">
        <v>23</v>
      </c>
      <c r="P545">
        <v>9</v>
      </c>
    </row>
    <row r="546" spans="1:16" x14ac:dyDescent="0.35">
      <c r="A546" t="s">
        <v>1606</v>
      </c>
      <c r="B546" s="10" t="s">
        <v>1607</v>
      </c>
      <c r="C546" s="11" t="str">
        <f t="shared" si="8"/>
        <v>September</v>
      </c>
      <c r="D546" t="s">
        <v>17</v>
      </c>
      <c r="E546" t="s">
        <v>1608</v>
      </c>
      <c r="F546" t="s">
        <v>36</v>
      </c>
      <c r="G546" t="s">
        <v>37</v>
      </c>
      <c r="H546" t="s">
        <v>76</v>
      </c>
      <c r="I546" t="s">
        <v>87</v>
      </c>
      <c r="J546">
        <v>3</v>
      </c>
      <c r="K546" s="4">
        <v>927.99</v>
      </c>
      <c r="L546" s="2">
        <v>2783.97</v>
      </c>
      <c r="M546">
        <v>0</v>
      </c>
      <c r="N546" s="4">
        <v>615.66</v>
      </c>
      <c r="O546" t="s">
        <v>23</v>
      </c>
      <c r="P546">
        <v>1</v>
      </c>
    </row>
    <row r="547" spans="1:16" x14ac:dyDescent="0.35">
      <c r="A547" t="s">
        <v>1609</v>
      </c>
      <c r="B547" s="10" t="s">
        <v>158</v>
      </c>
      <c r="C547" s="11" t="str">
        <f t="shared" si="8"/>
        <v>December</v>
      </c>
      <c r="D547" t="s">
        <v>440</v>
      </c>
      <c r="E547" t="s">
        <v>1610</v>
      </c>
      <c r="F547" t="s">
        <v>36</v>
      </c>
      <c r="G547" t="s">
        <v>57</v>
      </c>
      <c r="H547" t="s">
        <v>76</v>
      </c>
      <c r="I547" t="s">
        <v>128</v>
      </c>
      <c r="J547">
        <v>9</v>
      </c>
      <c r="K547" s="4">
        <v>156.69</v>
      </c>
      <c r="L547" s="2">
        <v>1410.21</v>
      </c>
      <c r="M547">
        <v>0.1</v>
      </c>
      <c r="N547" s="4">
        <v>224.73</v>
      </c>
      <c r="O547" t="s">
        <v>39</v>
      </c>
      <c r="P547">
        <v>1</v>
      </c>
    </row>
    <row r="548" spans="1:16" x14ac:dyDescent="0.35">
      <c r="A548" t="s">
        <v>1611</v>
      </c>
      <c r="B548" s="10" t="s">
        <v>1577</v>
      </c>
      <c r="C548" s="11" t="str">
        <f t="shared" si="8"/>
        <v>April</v>
      </c>
      <c r="D548" t="s">
        <v>712</v>
      </c>
      <c r="E548" t="s">
        <v>1612</v>
      </c>
      <c r="F548" t="s">
        <v>36</v>
      </c>
      <c r="G548" t="s">
        <v>37</v>
      </c>
      <c r="H548" t="s">
        <v>29</v>
      </c>
      <c r="I548" t="s">
        <v>100</v>
      </c>
      <c r="J548">
        <v>5</v>
      </c>
      <c r="K548" s="4">
        <v>46.53</v>
      </c>
      <c r="L548" s="2">
        <v>232.65</v>
      </c>
      <c r="M548">
        <v>0.1</v>
      </c>
      <c r="N548" s="4">
        <v>61.66</v>
      </c>
      <c r="O548" t="s">
        <v>39</v>
      </c>
      <c r="P548">
        <v>5</v>
      </c>
    </row>
    <row r="549" spans="1:16" x14ac:dyDescent="0.35">
      <c r="A549" t="s">
        <v>1613</v>
      </c>
      <c r="B549" s="10" t="s">
        <v>1614</v>
      </c>
      <c r="C549" s="11" t="str">
        <f t="shared" si="8"/>
        <v>May</v>
      </c>
      <c r="D549" t="s">
        <v>493</v>
      </c>
      <c r="E549" t="s">
        <v>1615</v>
      </c>
      <c r="F549" t="s">
        <v>36</v>
      </c>
      <c r="G549" t="s">
        <v>20</v>
      </c>
      <c r="H549" t="s">
        <v>21</v>
      </c>
      <c r="I549" t="s">
        <v>38</v>
      </c>
      <c r="J549">
        <v>8</v>
      </c>
      <c r="K549" s="4">
        <v>811.93</v>
      </c>
      <c r="L549" s="2">
        <v>6495.44</v>
      </c>
      <c r="M549">
        <v>0.1</v>
      </c>
      <c r="N549" s="4">
        <v>2866.08</v>
      </c>
      <c r="O549" t="s">
        <v>31</v>
      </c>
      <c r="P549">
        <v>9</v>
      </c>
    </row>
    <row r="550" spans="1:16" x14ac:dyDescent="0.35">
      <c r="A550" t="s">
        <v>1616</v>
      </c>
      <c r="B550" s="10" t="s">
        <v>1025</v>
      </c>
      <c r="C550" s="11" t="str">
        <f t="shared" si="8"/>
        <v>October</v>
      </c>
      <c r="D550" t="s">
        <v>789</v>
      </c>
      <c r="E550" t="s">
        <v>1617</v>
      </c>
      <c r="F550" t="s">
        <v>36</v>
      </c>
      <c r="G550" t="s">
        <v>20</v>
      </c>
      <c r="H550" t="s">
        <v>76</v>
      </c>
      <c r="I550" t="s">
        <v>177</v>
      </c>
      <c r="J550">
        <v>6</v>
      </c>
      <c r="K550" s="4">
        <v>339.84</v>
      </c>
      <c r="L550" s="2">
        <v>2039.04</v>
      </c>
      <c r="M550">
        <v>0.3</v>
      </c>
      <c r="N550" s="4">
        <v>326</v>
      </c>
      <c r="O550" t="s">
        <v>39</v>
      </c>
      <c r="P550">
        <v>10</v>
      </c>
    </row>
    <row r="551" spans="1:16" x14ac:dyDescent="0.35">
      <c r="A551" t="s">
        <v>1618</v>
      </c>
      <c r="B551" s="10" t="s">
        <v>1619</v>
      </c>
      <c r="C551" s="11" t="str">
        <f t="shared" si="8"/>
        <v>December</v>
      </c>
      <c r="D551" t="s">
        <v>489</v>
      </c>
      <c r="E551" t="s">
        <v>1620</v>
      </c>
      <c r="F551" t="s">
        <v>36</v>
      </c>
      <c r="G551" t="s">
        <v>28</v>
      </c>
      <c r="H551" t="s">
        <v>76</v>
      </c>
      <c r="I551" t="s">
        <v>177</v>
      </c>
      <c r="J551">
        <v>8</v>
      </c>
      <c r="K551" s="4">
        <v>79.86</v>
      </c>
      <c r="L551" s="2">
        <v>638.88</v>
      </c>
      <c r="M551">
        <v>0</v>
      </c>
      <c r="N551" s="4">
        <v>231.09</v>
      </c>
      <c r="O551" t="s">
        <v>31</v>
      </c>
      <c r="P551">
        <v>2</v>
      </c>
    </row>
    <row r="552" spans="1:16" x14ac:dyDescent="0.35">
      <c r="A552" t="s">
        <v>1621</v>
      </c>
      <c r="B552" s="10" t="s">
        <v>166</v>
      </c>
      <c r="C552" s="11" t="str">
        <f t="shared" si="8"/>
        <v>December</v>
      </c>
      <c r="D552" t="s">
        <v>282</v>
      </c>
      <c r="E552" t="s">
        <v>1622</v>
      </c>
      <c r="F552" t="s">
        <v>44</v>
      </c>
      <c r="G552" t="s">
        <v>57</v>
      </c>
      <c r="H552" t="s">
        <v>76</v>
      </c>
      <c r="I552" t="s">
        <v>128</v>
      </c>
      <c r="J552">
        <v>3</v>
      </c>
      <c r="K552" s="4">
        <v>851.52</v>
      </c>
      <c r="L552" s="2">
        <v>2554.56</v>
      </c>
      <c r="M552">
        <v>0.2</v>
      </c>
      <c r="N552" s="4">
        <v>609.44000000000005</v>
      </c>
      <c r="O552" t="s">
        <v>39</v>
      </c>
      <c r="P552">
        <v>6</v>
      </c>
    </row>
    <row r="553" spans="1:16" x14ac:dyDescent="0.35">
      <c r="A553" t="s">
        <v>1623</v>
      </c>
      <c r="B553" s="10" t="s">
        <v>1624</v>
      </c>
      <c r="C553" s="11" t="str">
        <f t="shared" si="8"/>
        <v>February</v>
      </c>
      <c r="D553" t="s">
        <v>1514</v>
      </c>
      <c r="E553" t="s">
        <v>1625</v>
      </c>
      <c r="F553" t="s">
        <v>44</v>
      </c>
      <c r="G553" t="s">
        <v>20</v>
      </c>
      <c r="H553" t="s">
        <v>29</v>
      </c>
      <c r="I553" t="s">
        <v>62</v>
      </c>
      <c r="J553">
        <v>9</v>
      </c>
      <c r="K553" s="4">
        <v>112.68</v>
      </c>
      <c r="L553" s="2">
        <v>1014.12</v>
      </c>
      <c r="M553">
        <v>0.15</v>
      </c>
      <c r="N553" s="4">
        <v>278.33</v>
      </c>
      <c r="O553" t="s">
        <v>39</v>
      </c>
      <c r="P553">
        <v>5</v>
      </c>
    </row>
    <row r="554" spans="1:16" x14ac:dyDescent="0.35">
      <c r="A554" t="s">
        <v>1626</v>
      </c>
      <c r="B554" s="10" t="s">
        <v>1627</v>
      </c>
      <c r="C554" s="11" t="str">
        <f t="shared" si="8"/>
        <v>November</v>
      </c>
      <c r="D554" t="s">
        <v>793</v>
      </c>
      <c r="E554" t="s">
        <v>1628</v>
      </c>
      <c r="F554" t="s">
        <v>44</v>
      </c>
      <c r="G554" t="s">
        <v>28</v>
      </c>
      <c r="H554" t="s">
        <v>21</v>
      </c>
      <c r="I554" t="s">
        <v>82</v>
      </c>
      <c r="J554">
        <v>8</v>
      </c>
      <c r="K554" s="4">
        <v>293.39999999999998</v>
      </c>
      <c r="L554" s="2">
        <v>2347.1999999999998</v>
      </c>
      <c r="M554">
        <v>0.05</v>
      </c>
      <c r="N554" s="4">
        <v>1098.22</v>
      </c>
      <c r="O554" t="s">
        <v>31</v>
      </c>
      <c r="P554">
        <v>6</v>
      </c>
    </row>
    <row r="555" spans="1:16" x14ac:dyDescent="0.35">
      <c r="A555" t="s">
        <v>1629</v>
      </c>
      <c r="B555" s="10" t="s">
        <v>788</v>
      </c>
      <c r="C555" s="11" t="str">
        <f t="shared" si="8"/>
        <v>September</v>
      </c>
      <c r="D555" t="s">
        <v>55</v>
      </c>
      <c r="E555" t="s">
        <v>1630</v>
      </c>
      <c r="F555" t="s">
        <v>36</v>
      </c>
      <c r="G555" t="s">
        <v>57</v>
      </c>
      <c r="H555" t="s">
        <v>76</v>
      </c>
      <c r="I555" t="s">
        <v>128</v>
      </c>
      <c r="J555">
        <v>8</v>
      </c>
      <c r="K555" s="4">
        <v>55.71</v>
      </c>
      <c r="L555" s="2">
        <v>445.68</v>
      </c>
      <c r="M555">
        <v>0.15</v>
      </c>
      <c r="N555" s="4">
        <v>191.25</v>
      </c>
      <c r="O555" t="s">
        <v>39</v>
      </c>
      <c r="P555">
        <v>10</v>
      </c>
    </row>
    <row r="556" spans="1:16" x14ac:dyDescent="0.35">
      <c r="A556" t="s">
        <v>1631</v>
      </c>
      <c r="B556" s="10" t="s">
        <v>457</v>
      </c>
      <c r="C556" s="11" t="str">
        <f t="shared" si="8"/>
        <v>June</v>
      </c>
      <c r="D556" t="s">
        <v>1270</v>
      </c>
      <c r="E556" t="s">
        <v>1632</v>
      </c>
      <c r="F556" t="s">
        <v>19</v>
      </c>
      <c r="G556" t="s">
        <v>20</v>
      </c>
      <c r="H556" t="s">
        <v>21</v>
      </c>
      <c r="I556" t="s">
        <v>105</v>
      </c>
      <c r="J556">
        <v>9</v>
      </c>
      <c r="K556" s="4">
        <v>141.46</v>
      </c>
      <c r="L556" s="2">
        <v>1273.1400000000001</v>
      </c>
      <c r="M556">
        <v>0.3</v>
      </c>
      <c r="N556" s="4">
        <v>206.13</v>
      </c>
      <c r="O556" t="s">
        <v>39</v>
      </c>
      <c r="P556">
        <v>9</v>
      </c>
    </row>
    <row r="557" spans="1:16" x14ac:dyDescent="0.35">
      <c r="A557" t="s">
        <v>1633</v>
      </c>
      <c r="B557" s="10" t="s">
        <v>1634</v>
      </c>
      <c r="C557" s="11" t="str">
        <f t="shared" si="8"/>
        <v>March</v>
      </c>
      <c r="D557" t="s">
        <v>879</v>
      </c>
      <c r="E557" t="s">
        <v>1635</v>
      </c>
      <c r="F557" t="s">
        <v>44</v>
      </c>
      <c r="G557" t="s">
        <v>20</v>
      </c>
      <c r="H557" t="s">
        <v>76</v>
      </c>
      <c r="I557" t="s">
        <v>128</v>
      </c>
      <c r="J557">
        <v>10</v>
      </c>
      <c r="K557" s="4">
        <v>507.86</v>
      </c>
      <c r="L557" s="2">
        <v>5078.6000000000004</v>
      </c>
      <c r="M557">
        <v>0.2</v>
      </c>
      <c r="N557" s="4">
        <v>1838.55</v>
      </c>
      <c r="O557" t="s">
        <v>39</v>
      </c>
      <c r="P557">
        <v>4</v>
      </c>
    </row>
    <row r="558" spans="1:16" x14ac:dyDescent="0.35">
      <c r="A558" t="s">
        <v>1636</v>
      </c>
      <c r="B558" s="10" t="s">
        <v>1134</v>
      </c>
      <c r="C558" s="11" t="str">
        <f t="shared" si="8"/>
        <v>June</v>
      </c>
      <c r="D558" t="s">
        <v>152</v>
      </c>
      <c r="E558" t="s">
        <v>1637</v>
      </c>
      <c r="F558" t="s">
        <v>19</v>
      </c>
      <c r="G558" t="s">
        <v>37</v>
      </c>
      <c r="H558" t="s">
        <v>21</v>
      </c>
      <c r="I558" t="s">
        <v>71</v>
      </c>
      <c r="J558">
        <v>7</v>
      </c>
      <c r="K558" s="4">
        <v>945.49</v>
      </c>
      <c r="L558" s="2">
        <v>6618.43</v>
      </c>
      <c r="M558">
        <v>0.15</v>
      </c>
      <c r="N558" s="4">
        <v>1817.74</v>
      </c>
      <c r="O558" t="s">
        <v>31</v>
      </c>
      <c r="P558">
        <v>2</v>
      </c>
    </row>
    <row r="559" spans="1:16" x14ac:dyDescent="0.35">
      <c r="A559" t="s">
        <v>1638</v>
      </c>
      <c r="B559" s="10" t="s">
        <v>1593</v>
      </c>
      <c r="C559" s="11" t="str">
        <f t="shared" si="8"/>
        <v>October</v>
      </c>
      <c r="D559" t="s">
        <v>1639</v>
      </c>
      <c r="E559" t="s">
        <v>1640</v>
      </c>
      <c r="F559" t="s">
        <v>44</v>
      </c>
      <c r="G559" t="s">
        <v>37</v>
      </c>
      <c r="H559" t="s">
        <v>21</v>
      </c>
      <c r="I559" t="s">
        <v>71</v>
      </c>
      <c r="J559">
        <v>8</v>
      </c>
      <c r="K559" s="4">
        <v>154.9</v>
      </c>
      <c r="L559" s="2">
        <v>1239.2</v>
      </c>
      <c r="M559">
        <v>0.2</v>
      </c>
      <c r="N559" s="4">
        <v>361.68</v>
      </c>
      <c r="O559" t="s">
        <v>39</v>
      </c>
      <c r="P559">
        <v>7</v>
      </c>
    </row>
    <row r="560" spans="1:16" x14ac:dyDescent="0.35">
      <c r="A560" t="s">
        <v>1641</v>
      </c>
      <c r="B560" s="10" t="s">
        <v>202</v>
      </c>
      <c r="C560" s="11" t="str">
        <f t="shared" si="8"/>
        <v>July</v>
      </c>
      <c r="D560" t="s">
        <v>420</v>
      </c>
      <c r="E560" t="s">
        <v>1642</v>
      </c>
      <c r="F560" t="s">
        <v>44</v>
      </c>
      <c r="G560" t="s">
        <v>20</v>
      </c>
      <c r="H560" t="s">
        <v>29</v>
      </c>
      <c r="I560" t="s">
        <v>100</v>
      </c>
      <c r="J560">
        <v>2</v>
      </c>
      <c r="K560" s="4">
        <v>828.9</v>
      </c>
      <c r="L560" s="2">
        <v>1657.8</v>
      </c>
      <c r="M560">
        <v>0.2</v>
      </c>
      <c r="N560" s="4">
        <v>320.24</v>
      </c>
      <c r="O560" t="s">
        <v>31</v>
      </c>
      <c r="P560">
        <v>4</v>
      </c>
    </row>
    <row r="561" spans="1:16" x14ac:dyDescent="0.35">
      <c r="A561" t="s">
        <v>1643</v>
      </c>
      <c r="B561" s="10" t="s">
        <v>1327</v>
      </c>
      <c r="C561" s="11" t="str">
        <f t="shared" si="8"/>
        <v>September</v>
      </c>
      <c r="D561" t="s">
        <v>299</v>
      </c>
      <c r="E561" t="s">
        <v>1644</v>
      </c>
      <c r="F561" t="s">
        <v>44</v>
      </c>
      <c r="G561" t="s">
        <v>28</v>
      </c>
      <c r="H561" t="s">
        <v>29</v>
      </c>
      <c r="I561" t="s">
        <v>100</v>
      </c>
      <c r="J561">
        <v>1</v>
      </c>
      <c r="K561" s="4">
        <v>913.35</v>
      </c>
      <c r="L561" s="2">
        <v>913.35</v>
      </c>
      <c r="M561">
        <v>0.3</v>
      </c>
      <c r="N561" s="4">
        <v>313.48</v>
      </c>
      <c r="O561" t="s">
        <v>31</v>
      </c>
      <c r="P561">
        <v>4</v>
      </c>
    </row>
    <row r="562" spans="1:16" x14ac:dyDescent="0.35">
      <c r="A562" t="s">
        <v>1645</v>
      </c>
      <c r="B562" s="10" t="s">
        <v>1153</v>
      </c>
      <c r="C562" s="11" t="str">
        <f t="shared" si="8"/>
        <v>August</v>
      </c>
      <c r="D562" t="s">
        <v>744</v>
      </c>
      <c r="E562" t="s">
        <v>1646</v>
      </c>
      <c r="F562" t="s">
        <v>44</v>
      </c>
      <c r="G562" t="s">
        <v>20</v>
      </c>
      <c r="H562" t="s">
        <v>21</v>
      </c>
      <c r="I562" t="s">
        <v>38</v>
      </c>
      <c r="J562">
        <v>5</v>
      </c>
      <c r="K562" s="4">
        <v>692.93</v>
      </c>
      <c r="L562" s="2">
        <v>3464.65</v>
      </c>
      <c r="M562">
        <v>0.3</v>
      </c>
      <c r="N562" s="4">
        <v>1038.45</v>
      </c>
      <c r="O562" t="s">
        <v>23</v>
      </c>
      <c r="P562">
        <v>1</v>
      </c>
    </row>
    <row r="563" spans="1:16" x14ac:dyDescent="0.35">
      <c r="A563" t="s">
        <v>1647</v>
      </c>
      <c r="B563" s="10" t="s">
        <v>125</v>
      </c>
      <c r="C563" s="11" t="str">
        <f t="shared" si="8"/>
        <v>October</v>
      </c>
      <c r="D563" t="s">
        <v>303</v>
      </c>
      <c r="E563" t="s">
        <v>1648</v>
      </c>
      <c r="F563" t="s">
        <v>36</v>
      </c>
      <c r="G563" t="s">
        <v>57</v>
      </c>
      <c r="H563" t="s">
        <v>21</v>
      </c>
      <c r="I563" t="s">
        <v>71</v>
      </c>
      <c r="J563">
        <v>7</v>
      </c>
      <c r="K563" s="4">
        <v>1020.21</v>
      </c>
      <c r="L563" s="2">
        <v>7141.47</v>
      </c>
      <c r="M563">
        <v>0.1</v>
      </c>
      <c r="N563" s="4">
        <v>3374.57</v>
      </c>
      <c r="O563" t="s">
        <v>31</v>
      </c>
      <c r="P563">
        <v>5</v>
      </c>
    </row>
    <row r="564" spans="1:16" x14ac:dyDescent="0.35">
      <c r="A564" t="s">
        <v>1649</v>
      </c>
      <c r="B564" s="10" t="s">
        <v>1650</v>
      </c>
      <c r="C564" s="11" t="str">
        <f t="shared" si="8"/>
        <v>December</v>
      </c>
      <c r="D564" t="s">
        <v>130</v>
      </c>
      <c r="E564" t="s">
        <v>1651</v>
      </c>
      <c r="F564" t="s">
        <v>44</v>
      </c>
      <c r="G564" t="s">
        <v>28</v>
      </c>
      <c r="H564" t="s">
        <v>29</v>
      </c>
      <c r="I564" t="s">
        <v>224</v>
      </c>
      <c r="J564">
        <v>7</v>
      </c>
      <c r="K564" s="4">
        <v>848.62</v>
      </c>
      <c r="L564" s="2">
        <v>5940.34</v>
      </c>
      <c r="M564">
        <v>0.15</v>
      </c>
      <c r="N564" s="4">
        <v>1514.35</v>
      </c>
      <c r="O564" t="s">
        <v>39</v>
      </c>
      <c r="P564">
        <v>9</v>
      </c>
    </row>
    <row r="565" spans="1:16" x14ac:dyDescent="0.35">
      <c r="A565" t="s">
        <v>1652</v>
      </c>
      <c r="B565" s="10" t="s">
        <v>1392</v>
      </c>
      <c r="C565" s="11" t="str">
        <f t="shared" si="8"/>
        <v>July</v>
      </c>
      <c r="D565" t="s">
        <v>237</v>
      </c>
      <c r="E565" t="s">
        <v>1653</v>
      </c>
      <c r="F565" t="s">
        <v>36</v>
      </c>
      <c r="G565" t="s">
        <v>57</v>
      </c>
      <c r="H565" t="s">
        <v>29</v>
      </c>
      <c r="I565" t="s">
        <v>62</v>
      </c>
      <c r="J565">
        <v>3</v>
      </c>
      <c r="K565" s="4">
        <v>580.35</v>
      </c>
      <c r="L565" s="2">
        <v>1741.05</v>
      </c>
      <c r="M565">
        <v>0.05</v>
      </c>
      <c r="N565" s="4">
        <v>542.23</v>
      </c>
      <c r="O565" t="s">
        <v>23</v>
      </c>
      <c r="P565">
        <v>3</v>
      </c>
    </row>
    <row r="566" spans="1:16" x14ac:dyDescent="0.35">
      <c r="A566" t="s">
        <v>1654</v>
      </c>
      <c r="B566" s="10" t="s">
        <v>1305</v>
      </c>
      <c r="C566" s="11" t="str">
        <f t="shared" si="8"/>
        <v>September</v>
      </c>
      <c r="D566" t="s">
        <v>1461</v>
      </c>
      <c r="E566" t="s">
        <v>1655</v>
      </c>
      <c r="F566" t="s">
        <v>44</v>
      </c>
      <c r="G566" t="s">
        <v>37</v>
      </c>
      <c r="H566" t="s">
        <v>29</v>
      </c>
      <c r="I566" t="s">
        <v>30</v>
      </c>
      <c r="J566">
        <v>2</v>
      </c>
      <c r="K566" s="4">
        <v>785.1</v>
      </c>
      <c r="L566" s="2">
        <v>1570.2</v>
      </c>
      <c r="M566">
        <v>0.05</v>
      </c>
      <c r="N566" s="4">
        <v>390.02</v>
      </c>
      <c r="O566" t="s">
        <v>31</v>
      </c>
      <c r="P566">
        <v>3</v>
      </c>
    </row>
    <row r="567" spans="1:16" x14ac:dyDescent="0.35">
      <c r="A567" t="s">
        <v>1656</v>
      </c>
      <c r="B567" s="10" t="s">
        <v>1657</v>
      </c>
      <c r="C567" s="11" t="str">
        <f t="shared" si="8"/>
        <v>August</v>
      </c>
      <c r="D567" t="s">
        <v>1658</v>
      </c>
      <c r="E567" t="s">
        <v>1659</v>
      </c>
      <c r="F567" t="s">
        <v>36</v>
      </c>
      <c r="G567" t="s">
        <v>28</v>
      </c>
      <c r="H567" t="s">
        <v>21</v>
      </c>
      <c r="I567" t="s">
        <v>82</v>
      </c>
      <c r="J567">
        <v>8</v>
      </c>
      <c r="K567" s="4">
        <v>1074.43</v>
      </c>
      <c r="L567" s="2">
        <v>8595.44</v>
      </c>
      <c r="M567">
        <v>0.3</v>
      </c>
      <c r="N567" s="4">
        <v>1854.55</v>
      </c>
      <c r="O567" t="s">
        <v>23</v>
      </c>
      <c r="P567">
        <v>7</v>
      </c>
    </row>
    <row r="568" spans="1:16" x14ac:dyDescent="0.35">
      <c r="A568" t="s">
        <v>1660</v>
      </c>
      <c r="B568" s="10" t="s">
        <v>107</v>
      </c>
      <c r="C568" s="11" t="str">
        <f t="shared" si="8"/>
        <v>January</v>
      </c>
      <c r="D568" t="s">
        <v>890</v>
      </c>
      <c r="E568" t="s">
        <v>1661</v>
      </c>
      <c r="F568" t="s">
        <v>44</v>
      </c>
      <c r="G568" t="s">
        <v>37</v>
      </c>
      <c r="H568" t="s">
        <v>21</v>
      </c>
      <c r="I568" t="s">
        <v>82</v>
      </c>
      <c r="J568">
        <v>7</v>
      </c>
      <c r="K568" s="4">
        <v>439.26</v>
      </c>
      <c r="L568" s="2">
        <v>3074.82</v>
      </c>
      <c r="M568">
        <v>0.05</v>
      </c>
      <c r="N568" s="4">
        <v>1110.28</v>
      </c>
      <c r="O568" t="s">
        <v>23</v>
      </c>
      <c r="P568">
        <v>9</v>
      </c>
    </row>
    <row r="569" spans="1:16" x14ac:dyDescent="0.35">
      <c r="A569" t="s">
        <v>1662</v>
      </c>
      <c r="B569" s="10" t="s">
        <v>1663</v>
      </c>
      <c r="C569" s="11" t="str">
        <f t="shared" si="8"/>
        <v>October</v>
      </c>
      <c r="D569" t="s">
        <v>879</v>
      </c>
      <c r="E569" t="s">
        <v>1664</v>
      </c>
      <c r="F569" t="s">
        <v>19</v>
      </c>
      <c r="G569" t="s">
        <v>57</v>
      </c>
      <c r="H569" t="s">
        <v>76</v>
      </c>
      <c r="I569" t="s">
        <v>128</v>
      </c>
      <c r="J569">
        <v>9</v>
      </c>
      <c r="K569" s="4">
        <v>700.1</v>
      </c>
      <c r="L569" s="2">
        <v>6300.9</v>
      </c>
      <c r="M569">
        <v>0</v>
      </c>
      <c r="N569" s="4">
        <v>999.99</v>
      </c>
      <c r="O569" t="s">
        <v>31</v>
      </c>
      <c r="P569">
        <v>10</v>
      </c>
    </row>
    <row r="570" spans="1:16" x14ac:dyDescent="0.35">
      <c r="A570" t="s">
        <v>1665</v>
      </c>
      <c r="B570" s="10" t="s">
        <v>1666</v>
      </c>
      <c r="C570" s="11" t="str">
        <f t="shared" si="8"/>
        <v>May</v>
      </c>
      <c r="D570" t="s">
        <v>117</v>
      </c>
      <c r="E570" t="s">
        <v>1667</v>
      </c>
      <c r="F570" t="s">
        <v>19</v>
      </c>
      <c r="G570" t="s">
        <v>20</v>
      </c>
      <c r="H570" t="s">
        <v>76</v>
      </c>
      <c r="I570" t="s">
        <v>77</v>
      </c>
      <c r="J570">
        <v>3</v>
      </c>
      <c r="K570" s="4">
        <v>881.62</v>
      </c>
      <c r="L570" s="2">
        <v>2644.86</v>
      </c>
      <c r="M570">
        <v>0.2</v>
      </c>
      <c r="N570" s="4">
        <v>331.28</v>
      </c>
      <c r="O570" t="s">
        <v>23</v>
      </c>
      <c r="P570">
        <v>10</v>
      </c>
    </row>
    <row r="571" spans="1:16" x14ac:dyDescent="0.35">
      <c r="A571" t="s">
        <v>1668</v>
      </c>
      <c r="B571" s="10" t="s">
        <v>1669</v>
      </c>
      <c r="C571" s="11" t="str">
        <f t="shared" si="8"/>
        <v>February</v>
      </c>
      <c r="D571" t="s">
        <v>195</v>
      </c>
      <c r="E571" t="s">
        <v>1670</v>
      </c>
      <c r="F571" t="s">
        <v>19</v>
      </c>
      <c r="G571" t="s">
        <v>57</v>
      </c>
      <c r="H571" t="s">
        <v>29</v>
      </c>
      <c r="I571" t="s">
        <v>224</v>
      </c>
      <c r="J571">
        <v>8</v>
      </c>
      <c r="K571" s="4">
        <v>764.18</v>
      </c>
      <c r="L571" s="2">
        <v>6113.44</v>
      </c>
      <c r="M571">
        <v>0.3</v>
      </c>
      <c r="N571" s="4">
        <v>709.68</v>
      </c>
      <c r="O571" t="s">
        <v>23</v>
      </c>
      <c r="P571">
        <v>1</v>
      </c>
    </row>
    <row r="572" spans="1:16" x14ac:dyDescent="0.35">
      <c r="A572" t="s">
        <v>1671</v>
      </c>
      <c r="B572" s="10" t="s">
        <v>1025</v>
      </c>
      <c r="C572" s="11" t="str">
        <f t="shared" si="8"/>
        <v>October</v>
      </c>
      <c r="D572" t="s">
        <v>651</v>
      </c>
      <c r="E572" t="s">
        <v>1672</v>
      </c>
      <c r="F572" t="s">
        <v>44</v>
      </c>
      <c r="G572" t="s">
        <v>28</v>
      </c>
      <c r="H572" t="s">
        <v>76</v>
      </c>
      <c r="I572" t="s">
        <v>177</v>
      </c>
      <c r="J572">
        <v>1</v>
      </c>
      <c r="K572" s="4">
        <v>573.27</v>
      </c>
      <c r="L572" s="2">
        <v>573.27</v>
      </c>
      <c r="M572">
        <v>0.2</v>
      </c>
      <c r="N572" s="4">
        <v>86.03</v>
      </c>
      <c r="O572" t="s">
        <v>39</v>
      </c>
      <c r="P572">
        <v>5</v>
      </c>
    </row>
    <row r="573" spans="1:16" x14ac:dyDescent="0.35">
      <c r="A573" t="s">
        <v>1673</v>
      </c>
      <c r="B573" s="10" t="s">
        <v>739</v>
      </c>
      <c r="C573" s="11" t="str">
        <f t="shared" si="8"/>
        <v>October</v>
      </c>
      <c r="D573" t="s">
        <v>793</v>
      </c>
      <c r="E573" t="s">
        <v>1674</v>
      </c>
      <c r="F573" t="s">
        <v>36</v>
      </c>
      <c r="G573" t="s">
        <v>28</v>
      </c>
      <c r="H573" t="s">
        <v>76</v>
      </c>
      <c r="I573" t="s">
        <v>119</v>
      </c>
      <c r="J573">
        <v>1</v>
      </c>
      <c r="K573" s="4">
        <v>840.16</v>
      </c>
      <c r="L573" s="2">
        <v>840.16</v>
      </c>
      <c r="M573">
        <v>0.2</v>
      </c>
      <c r="N573" s="4">
        <v>168.19</v>
      </c>
      <c r="O573" t="s">
        <v>23</v>
      </c>
      <c r="P573">
        <v>3</v>
      </c>
    </row>
    <row r="574" spans="1:16" x14ac:dyDescent="0.35">
      <c r="A574" t="s">
        <v>1675</v>
      </c>
      <c r="B574" s="10" t="s">
        <v>1519</v>
      </c>
      <c r="C574" s="11" t="str">
        <f t="shared" si="8"/>
        <v>September</v>
      </c>
      <c r="D574" t="s">
        <v>1676</v>
      </c>
      <c r="E574" t="s">
        <v>1677</v>
      </c>
      <c r="F574" t="s">
        <v>36</v>
      </c>
      <c r="G574" t="s">
        <v>20</v>
      </c>
      <c r="H574" t="s">
        <v>21</v>
      </c>
      <c r="I574" t="s">
        <v>22</v>
      </c>
      <c r="J574">
        <v>5</v>
      </c>
      <c r="K574" s="4">
        <v>974.5</v>
      </c>
      <c r="L574" s="2">
        <v>4872.5</v>
      </c>
      <c r="M574">
        <v>0.2</v>
      </c>
      <c r="N574" s="4">
        <v>2101.34</v>
      </c>
      <c r="O574" t="s">
        <v>39</v>
      </c>
      <c r="P574">
        <v>5</v>
      </c>
    </row>
    <row r="575" spans="1:16" x14ac:dyDescent="0.35">
      <c r="A575" t="s">
        <v>1678</v>
      </c>
      <c r="B575" s="10" t="s">
        <v>762</v>
      </c>
      <c r="C575" s="11" t="str">
        <f t="shared" si="8"/>
        <v>February</v>
      </c>
      <c r="D575" t="s">
        <v>602</v>
      </c>
      <c r="E575" t="s">
        <v>1679</v>
      </c>
      <c r="F575" t="s">
        <v>36</v>
      </c>
      <c r="G575" t="s">
        <v>37</v>
      </c>
      <c r="H575" t="s">
        <v>29</v>
      </c>
      <c r="I575" t="s">
        <v>100</v>
      </c>
      <c r="J575">
        <v>5</v>
      </c>
      <c r="K575" s="4">
        <v>344.76</v>
      </c>
      <c r="L575" s="2">
        <v>1723.8</v>
      </c>
      <c r="M575">
        <v>0.1</v>
      </c>
      <c r="N575" s="4">
        <v>844.47</v>
      </c>
      <c r="O575" t="s">
        <v>23</v>
      </c>
      <c r="P575">
        <v>8</v>
      </c>
    </row>
    <row r="576" spans="1:16" x14ac:dyDescent="0.35">
      <c r="A576" t="s">
        <v>1680</v>
      </c>
      <c r="B576" s="10" t="s">
        <v>1681</v>
      </c>
      <c r="C576" s="11" t="str">
        <f t="shared" si="8"/>
        <v>September</v>
      </c>
      <c r="D576" t="s">
        <v>611</v>
      </c>
      <c r="E576" t="s">
        <v>1682</v>
      </c>
      <c r="F576" t="s">
        <v>44</v>
      </c>
      <c r="G576" t="s">
        <v>20</v>
      </c>
      <c r="H576" t="s">
        <v>76</v>
      </c>
      <c r="I576" t="s">
        <v>119</v>
      </c>
      <c r="J576">
        <v>5</v>
      </c>
      <c r="K576" s="4">
        <v>943.38</v>
      </c>
      <c r="L576" s="2">
        <v>4716.8999999999996</v>
      </c>
      <c r="M576">
        <v>0.05</v>
      </c>
      <c r="N576" s="4">
        <v>1595.4</v>
      </c>
      <c r="O576" t="s">
        <v>31</v>
      </c>
      <c r="P576">
        <v>10</v>
      </c>
    </row>
    <row r="577" spans="1:16" x14ac:dyDescent="0.35">
      <c r="A577" t="s">
        <v>1683</v>
      </c>
      <c r="B577" s="10" t="s">
        <v>1684</v>
      </c>
      <c r="C577" s="11" t="str">
        <f t="shared" si="8"/>
        <v>November</v>
      </c>
      <c r="D577" t="s">
        <v>980</v>
      </c>
      <c r="E577" t="s">
        <v>1685</v>
      </c>
      <c r="F577" t="s">
        <v>36</v>
      </c>
      <c r="G577" t="s">
        <v>57</v>
      </c>
      <c r="H577" t="s">
        <v>29</v>
      </c>
      <c r="I577" t="s">
        <v>45</v>
      </c>
      <c r="J577">
        <v>7</v>
      </c>
      <c r="K577" s="4">
        <v>929.03</v>
      </c>
      <c r="L577" s="2">
        <v>6503.21</v>
      </c>
      <c r="M577">
        <v>0.05</v>
      </c>
      <c r="N577" s="4">
        <v>1765.27</v>
      </c>
      <c r="O577" t="s">
        <v>31</v>
      </c>
      <c r="P577">
        <v>5</v>
      </c>
    </row>
    <row r="578" spans="1:16" x14ac:dyDescent="0.35">
      <c r="A578" t="s">
        <v>1686</v>
      </c>
      <c r="B578" s="10" t="s">
        <v>1327</v>
      </c>
      <c r="C578" s="11" t="str">
        <f t="shared" si="8"/>
        <v>September</v>
      </c>
      <c r="D578" t="s">
        <v>769</v>
      </c>
      <c r="E578" t="s">
        <v>1687</v>
      </c>
      <c r="F578" t="s">
        <v>44</v>
      </c>
      <c r="G578" t="s">
        <v>28</v>
      </c>
      <c r="H578" t="s">
        <v>29</v>
      </c>
      <c r="I578" t="s">
        <v>30</v>
      </c>
      <c r="J578">
        <v>3</v>
      </c>
      <c r="K578" s="4">
        <v>567.54</v>
      </c>
      <c r="L578" s="2">
        <v>1702.62</v>
      </c>
      <c r="M578">
        <v>0.15</v>
      </c>
      <c r="N578" s="4">
        <v>621.52</v>
      </c>
      <c r="O578" t="s">
        <v>39</v>
      </c>
      <c r="P578">
        <v>5</v>
      </c>
    </row>
    <row r="579" spans="1:16" x14ac:dyDescent="0.35">
      <c r="A579" t="s">
        <v>1688</v>
      </c>
      <c r="B579" s="10" t="s">
        <v>1337</v>
      </c>
      <c r="C579" s="11" t="str">
        <f t="shared" ref="C579:C642" si="9">TEXT(B579,"MMMM")</f>
        <v>June</v>
      </c>
      <c r="D579" t="s">
        <v>1037</v>
      </c>
      <c r="E579" t="s">
        <v>1689</v>
      </c>
      <c r="F579" t="s">
        <v>19</v>
      </c>
      <c r="G579" t="s">
        <v>20</v>
      </c>
      <c r="H579" t="s">
        <v>29</v>
      </c>
      <c r="I579" t="s">
        <v>100</v>
      </c>
      <c r="J579">
        <v>7</v>
      </c>
      <c r="K579" s="4">
        <v>34</v>
      </c>
      <c r="L579" s="2">
        <v>238</v>
      </c>
      <c r="M579">
        <v>0.15</v>
      </c>
      <c r="N579" s="4">
        <v>80.349999999999994</v>
      </c>
      <c r="O579" t="s">
        <v>31</v>
      </c>
      <c r="P579">
        <v>9</v>
      </c>
    </row>
    <row r="580" spans="1:16" x14ac:dyDescent="0.35">
      <c r="A580" t="s">
        <v>1690</v>
      </c>
      <c r="B580" s="10" t="s">
        <v>719</v>
      </c>
      <c r="C580" s="11" t="str">
        <f t="shared" si="9"/>
        <v>June</v>
      </c>
      <c r="D580" t="s">
        <v>566</v>
      </c>
      <c r="E580" t="s">
        <v>1691</v>
      </c>
      <c r="F580" t="s">
        <v>44</v>
      </c>
      <c r="G580" t="s">
        <v>20</v>
      </c>
      <c r="H580" t="s">
        <v>21</v>
      </c>
      <c r="I580" t="s">
        <v>38</v>
      </c>
      <c r="J580">
        <v>7</v>
      </c>
      <c r="K580" s="4">
        <v>740.37</v>
      </c>
      <c r="L580" s="2">
        <v>5182.59</v>
      </c>
      <c r="M580">
        <v>0.3</v>
      </c>
      <c r="N580" s="4">
        <v>749.72</v>
      </c>
      <c r="O580" t="s">
        <v>39</v>
      </c>
      <c r="P580">
        <v>10</v>
      </c>
    </row>
    <row r="581" spans="1:16" x14ac:dyDescent="0.35">
      <c r="A581" t="s">
        <v>1692</v>
      </c>
      <c r="B581" s="10" t="s">
        <v>230</v>
      </c>
      <c r="C581" s="11" t="str">
        <f t="shared" si="9"/>
        <v>September</v>
      </c>
      <c r="D581" t="s">
        <v>245</v>
      </c>
      <c r="E581" t="s">
        <v>1693</v>
      </c>
      <c r="F581" t="s">
        <v>19</v>
      </c>
      <c r="G581" t="s">
        <v>37</v>
      </c>
      <c r="H581" t="s">
        <v>76</v>
      </c>
      <c r="I581" t="s">
        <v>128</v>
      </c>
      <c r="J581">
        <v>4</v>
      </c>
      <c r="K581" s="4">
        <v>886.49</v>
      </c>
      <c r="L581" s="2">
        <v>3545.96</v>
      </c>
      <c r="M581">
        <v>0.2</v>
      </c>
      <c r="N581" s="4">
        <v>685.93</v>
      </c>
      <c r="O581" t="s">
        <v>39</v>
      </c>
      <c r="P581">
        <v>9</v>
      </c>
    </row>
    <row r="582" spans="1:16" x14ac:dyDescent="0.35">
      <c r="A582" t="s">
        <v>1694</v>
      </c>
      <c r="B582" s="10" t="s">
        <v>533</v>
      </c>
      <c r="C582" s="11" t="str">
        <f t="shared" si="9"/>
        <v>September</v>
      </c>
      <c r="D582" t="s">
        <v>843</v>
      </c>
      <c r="E582" t="s">
        <v>1695</v>
      </c>
      <c r="F582" t="s">
        <v>19</v>
      </c>
      <c r="G582" t="s">
        <v>28</v>
      </c>
      <c r="H582" t="s">
        <v>29</v>
      </c>
      <c r="I582" t="s">
        <v>62</v>
      </c>
      <c r="J582">
        <v>1</v>
      </c>
      <c r="K582" s="4">
        <v>1001.39</v>
      </c>
      <c r="L582" s="2">
        <v>1001.39</v>
      </c>
      <c r="M582">
        <v>0</v>
      </c>
      <c r="N582" s="4">
        <v>386.04</v>
      </c>
      <c r="O582" t="s">
        <v>39</v>
      </c>
      <c r="P582">
        <v>4</v>
      </c>
    </row>
    <row r="583" spans="1:16" x14ac:dyDescent="0.35">
      <c r="A583" t="s">
        <v>1696</v>
      </c>
      <c r="B583" s="10" t="s">
        <v>608</v>
      </c>
      <c r="C583" s="11" t="str">
        <f t="shared" si="9"/>
        <v>January</v>
      </c>
      <c r="D583" t="s">
        <v>440</v>
      </c>
      <c r="E583" t="s">
        <v>1697</v>
      </c>
      <c r="F583" t="s">
        <v>19</v>
      </c>
      <c r="G583" t="s">
        <v>37</v>
      </c>
      <c r="H583" t="s">
        <v>21</v>
      </c>
      <c r="I583" t="s">
        <v>38</v>
      </c>
      <c r="J583">
        <v>5</v>
      </c>
      <c r="K583" s="4">
        <v>247.83</v>
      </c>
      <c r="L583" s="2">
        <v>1239.1500000000001</v>
      </c>
      <c r="M583">
        <v>0</v>
      </c>
      <c r="N583" s="4">
        <v>374.52</v>
      </c>
      <c r="O583" t="s">
        <v>23</v>
      </c>
      <c r="P583">
        <v>2</v>
      </c>
    </row>
    <row r="584" spans="1:16" x14ac:dyDescent="0.35">
      <c r="A584" t="s">
        <v>1698</v>
      </c>
      <c r="B584" s="10" t="s">
        <v>1699</v>
      </c>
      <c r="C584" s="11" t="str">
        <f t="shared" si="9"/>
        <v>November</v>
      </c>
      <c r="D584" t="s">
        <v>307</v>
      </c>
      <c r="E584" t="s">
        <v>1700</v>
      </c>
      <c r="F584" t="s">
        <v>36</v>
      </c>
      <c r="G584" t="s">
        <v>20</v>
      </c>
      <c r="H584" t="s">
        <v>21</v>
      </c>
      <c r="I584" t="s">
        <v>22</v>
      </c>
      <c r="J584">
        <v>2</v>
      </c>
      <c r="K584" s="4">
        <v>1030.5999999999999</v>
      </c>
      <c r="L584" s="2">
        <v>2061.1999999999998</v>
      </c>
      <c r="M584">
        <v>0.05</v>
      </c>
      <c r="N584" s="4">
        <v>782.51</v>
      </c>
      <c r="O584" t="s">
        <v>23</v>
      </c>
      <c r="P584">
        <v>3</v>
      </c>
    </row>
    <row r="585" spans="1:16" x14ac:dyDescent="0.35">
      <c r="A585" t="s">
        <v>1701</v>
      </c>
      <c r="B585" s="10" t="s">
        <v>1702</v>
      </c>
      <c r="C585" s="11" t="str">
        <f t="shared" si="9"/>
        <v>May</v>
      </c>
      <c r="D585" t="s">
        <v>461</v>
      </c>
      <c r="E585" t="s">
        <v>1703</v>
      </c>
      <c r="F585" t="s">
        <v>44</v>
      </c>
      <c r="G585" t="s">
        <v>57</v>
      </c>
      <c r="H585" t="s">
        <v>76</v>
      </c>
      <c r="I585" t="s">
        <v>87</v>
      </c>
      <c r="J585">
        <v>8</v>
      </c>
      <c r="K585" s="4">
        <v>799.36</v>
      </c>
      <c r="L585" s="2">
        <v>6394.88</v>
      </c>
      <c r="M585">
        <v>0</v>
      </c>
      <c r="N585" s="4">
        <v>1883.21</v>
      </c>
      <c r="O585" t="s">
        <v>39</v>
      </c>
      <c r="P585">
        <v>3</v>
      </c>
    </row>
    <row r="586" spans="1:16" x14ac:dyDescent="0.35">
      <c r="A586" t="s">
        <v>1704</v>
      </c>
      <c r="B586" s="10" t="s">
        <v>979</v>
      </c>
      <c r="C586" s="11" t="str">
        <f t="shared" si="9"/>
        <v>May</v>
      </c>
      <c r="D586" t="s">
        <v>98</v>
      </c>
      <c r="E586" t="s">
        <v>1705</v>
      </c>
      <c r="F586" t="s">
        <v>36</v>
      </c>
      <c r="G586" t="s">
        <v>28</v>
      </c>
      <c r="H586" t="s">
        <v>29</v>
      </c>
      <c r="I586" t="s">
        <v>110</v>
      </c>
      <c r="J586">
        <v>1</v>
      </c>
      <c r="K586" s="4">
        <v>471.7</v>
      </c>
      <c r="L586" s="2">
        <v>471.7</v>
      </c>
      <c r="M586">
        <v>0.1</v>
      </c>
      <c r="N586" s="4">
        <v>64.37</v>
      </c>
      <c r="O586" t="s">
        <v>31</v>
      </c>
      <c r="P586">
        <v>8</v>
      </c>
    </row>
    <row r="587" spans="1:16" x14ac:dyDescent="0.35">
      <c r="A587" t="s">
        <v>1706</v>
      </c>
      <c r="B587" s="10" t="s">
        <v>89</v>
      </c>
      <c r="C587" s="11" t="str">
        <f t="shared" si="9"/>
        <v>October</v>
      </c>
      <c r="D587" t="s">
        <v>461</v>
      </c>
      <c r="E587" t="s">
        <v>1707</v>
      </c>
      <c r="F587" t="s">
        <v>44</v>
      </c>
      <c r="G587" t="s">
        <v>37</v>
      </c>
      <c r="H587" t="s">
        <v>29</v>
      </c>
      <c r="I587" t="s">
        <v>100</v>
      </c>
      <c r="J587">
        <v>7</v>
      </c>
      <c r="K587" s="4">
        <v>230.56</v>
      </c>
      <c r="L587" s="2">
        <v>1613.92</v>
      </c>
      <c r="M587">
        <v>0.15</v>
      </c>
      <c r="N587" s="4">
        <v>695.01</v>
      </c>
      <c r="O587" t="s">
        <v>23</v>
      </c>
      <c r="P587">
        <v>2</v>
      </c>
    </row>
    <row r="588" spans="1:16" x14ac:dyDescent="0.35">
      <c r="A588" t="s">
        <v>1708</v>
      </c>
      <c r="B588" s="10" t="s">
        <v>562</v>
      </c>
      <c r="C588" s="11" t="str">
        <f t="shared" si="9"/>
        <v>May</v>
      </c>
      <c r="D588" t="s">
        <v>926</v>
      </c>
      <c r="E588" t="s">
        <v>1709</v>
      </c>
      <c r="F588" t="s">
        <v>44</v>
      </c>
      <c r="G588" t="s">
        <v>20</v>
      </c>
      <c r="H588" t="s">
        <v>76</v>
      </c>
      <c r="I588" t="s">
        <v>87</v>
      </c>
      <c r="J588">
        <v>2</v>
      </c>
      <c r="K588" s="4">
        <v>61.14</v>
      </c>
      <c r="L588" s="2">
        <v>122.28</v>
      </c>
      <c r="M588">
        <v>0</v>
      </c>
      <c r="N588" s="4">
        <v>39.31</v>
      </c>
      <c r="O588" t="s">
        <v>39</v>
      </c>
      <c r="P588">
        <v>3</v>
      </c>
    </row>
    <row r="589" spans="1:16" x14ac:dyDescent="0.35">
      <c r="A589" t="s">
        <v>1710</v>
      </c>
      <c r="B589" s="10" t="s">
        <v>336</v>
      </c>
      <c r="C589" s="11" t="str">
        <f t="shared" si="9"/>
        <v>June</v>
      </c>
      <c r="D589" t="s">
        <v>1279</v>
      </c>
      <c r="E589" t="s">
        <v>1711</v>
      </c>
      <c r="F589" t="s">
        <v>19</v>
      </c>
      <c r="G589" t="s">
        <v>20</v>
      </c>
      <c r="H589" t="s">
        <v>21</v>
      </c>
      <c r="I589" t="s">
        <v>22</v>
      </c>
      <c r="J589">
        <v>1</v>
      </c>
      <c r="K589" s="4">
        <v>804.23</v>
      </c>
      <c r="L589" s="2">
        <v>804.23</v>
      </c>
      <c r="M589">
        <v>0.1</v>
      </c>
      <c r="N589" s="4">
        <v>354.2</v>
      </c>
      <c r="O589" t="s">
        <v>23</v>
      </c>
      <c r="P589">
        <v>8</v>
      </c>
    </row>
    <row r="590" spans="1:16" x14ac:dyDescent="0.35">
      <c r="A590" t="s">
        <v>1712</v>
      </c>
      <c r="B590" s="10" t="s">
        <v>925</v>
      </c>
      <c r="C590" s="11" t="str">
        <f t="shared" si="9"/>
        <v>January</v>
      </c>
      <c r="D590" t="s">
        <v>1159</v>
      </c>
      <c r="E590" t="s">
        <v>1713</v>
      </c>
      <c r="F590" t="s">
        <v>19</v>
      </c>
      <c r="G590" t="s">
        <v>28</v>
      </c>
      <c r="H590" t="s">
        <v>76</v>
      </c>
      <c r="I590" t="s">
        <v>128</v>
      </c>
      <c r="J590">
        <v>7</v>
      </c>
      <c r="K590" s="4">
        <v>1015.98</v>
      </c>
      <c r="L590" s="2">
        <v>7111.86</v>
      </c>
      <c r="M590">
        <v>0</v>
      </c>
      <c r="N590" s="4">
        <v>2375</v>
      </c>
      <c r="O590" t="s">
        <v>31</v>
      </c>
      <c r="P590">
        <v>10</v>
      </c>
    </row>
    <row r="591" spans="1:16" x14ac:dyDescent="0.35">
      <c r="A591" t="s">
        <v>1714</v>
      </c>
      <c r="B591" s="10" t="s">
        <v>1699</v>
      </c>
      <c r="C591" s="11" t="str">
        <f t="shared" si="9"/>
        <v>November</v>
      </c>
      <c r="D591" t="s">
        <v>1448</v>
      </c>
      <c r="E591" t="s">
        <v>1715</v>
      </c>
      <c r="F591" t="s">
        <v>44</v>
      </c>
      <c r="G591" t="s">
        <v>57</v>
      </c>
      <c r="H591" t="s">
        <v>21</v>
      </c>
      <c r="I591" t="s">
        <v>38</v>
      </c>
      <c r="J591">
        <v>6</v>
      </c>
      <c r="K591" s="4">
        <v>824.57</v>
      </c>
      <c r="L591" s="2">
        <v>4947.42</v>
      </c>
      <c r="M591">
        <v>0.15</v>
      </c>
      <c r="N591" s="4">
        <v>2220.0700000000002</v>
      </c>
      <c r="O591" t="s">
        <v>31</v>
      </c>
      <c r="P591">
        <v>8</v>
      </c>
    </row>
    <row r="592" spans="1:16" x14ac:dyDescent="0.35">
      <c r="A592" t="s">
        <v>1716</v>
      </c>
      <c r="B592" s="10" t="s">
        <v>198</v>
      </c>
      <c r="C592" s="11" t="str">
        <f t="shared" si="9"/>
        <v>June</v>
      </c>
      <c r="D592" t="s">
        <v>1514</v>
      </c>
      <c r="E592" t="s">
        <v>1717</v>
      </c>
      <c r="F592" t="s">
        <v>44</v>
      </c>
      <c r="G592" t="s">
        <v>20</v>
      </c>
      <c r="H592" t="s">
        <v>76</v>
      </c>
      <c r="I592" t="s">
        <v>119</v>
      </c>
      <c r="J592">
        <v>3</v>
      </c>
      <c r="K592" s="4">
        <v>674.28</v>
      </c>
      <c r="L592" s="2">
        <v>2022.84</v>
      </c>
      <c r="M592">
        <v>0.15</v>
      </c>
      <c r="N592" s="4">
        <v>491.25</v>
      </c>
      <c r="O592" t="s">
        <v>23</v>
      </c>
      <c r="P592">
        <v>6</v>
      </c>
    </row>
    <row r="593" spans="1:16" x14ac:dyDescent="0.35">
      <c r="A593" t="s">
        <v>1718</v>
      </c>
      <c r="B593" s="10" t="s">
        <v>878</v>
      </c>
      <c r="C593" s="11" t="str">
        <f t="shared" si="9"/>
        <v>January</v>
      </c>
      <c r="D593" t="s">
        <v>658</v>
      </c>
      <c r="E593" t="s">
        <v>1719</v>
      </c>
      <c r="F593" t="s">
        <v>19</v>
      </c>
      <c r="G593" t="s">
        <v>37</v>
      </c>
      <c r="H593" t="s">
        <v>76</v>
      </c>
      <c r="I593" t="s">
        <v>77</v>
      </c>
      <c r="J593">
        <v>8</v>
      </c>
      <c r="K593" s="4">
        <v>887.68</v>
      </c>
      <c r="L593" s="2">
        <v>7101.44</v>
      </c>
      <c r="M593">
        <v>0.05</v>
      </c>
      <c r="N593" s="4">
        <v>3614.17</v>
      </c>
      <c r="O593" t="s">
        <v>39</v>
      </c>
      <c r="P593">
        <v>7</v>
      </c>
    </row>
    <row r="594" spans="1:16" x14ac:dyDescent="0.35">
      <c r="A594" t="s">
        <v>1720</v>
      </c>
      <c r="B594" s="10" t="s">
        <v>1721</v>
      </c>
      <c r="C594" s="11" t="str">
        <f t="shared" si="9"/>
        <v>January</v>
      </c>
      <c r="D594" t="s">
        <v>716</v>
      </c>
      <c r="E594" t="s">
        <v>1722</v>
      </c>
      <c r="F594" t="s">
        <v>44</v>
      </c>
      <c r="G594" t="s">
        <v>20</v>
      </c>
      <c r="H594" t="s">
        <v>29</v>
      </c>
      <c r="I594" t="s">
        <v>100</v>
      </c>
      <c r="J594">
        <v>5</v>
      </c>
      <c r="K594" s="4">
        <v>609.63</v>
      </c>
      <c r="L594" s="2">
        <v>3048.15</v>
      </c>
      <c r="M594">
        <v>0.15</v>
      </c>
      <c r="N594" s="4">
        <v>423.28</v>
      </c>
      <c r="O594" t="s">
        <v>39</v>
      </c>
      <c r="P594">
        <v>1</v>
      </c>
    </row>
    <row r="595" spans="1:16" x14ac:dyDescent="0.35">
      <c r="A595" t="s">
        <v>1723</v>
      </c>
      <c r="B595" s="10" t="s">
        <v>1195</v>
      </c>
      <c r="C595" s="11" t="str">
        <f t="shared" si="9"/>
        <v>December</v>
      </c>
      <c r="D595" t="s">
        <v>122</v>
      </c>
      <c r="E595" t="s">
        <v>1724</v>
      </c>
      <c r="F595" t="s">
        <v>36</v>
      </c>
      <c r="G595" t="s">
        <v>37</v>
      </c>
      <c r="H595" t="s">
        <v>76</v>
      </c>
      <c r="I595" t="s">
        <v>77</v>
      </c>
      <c r="J595">
        <v>4</v>
      </c>
      <c r="K595" s="4">
        <v>972.38</v>
      </c>
      <c r="L595" s="2">
        <v>3889.52</v>
      </c>
      <c r="M595">
        <v>0.3</v>
      </c>
      <c r="N595" s="4">
        <v>927.75</v>
      </c>
      <c r="O595" t="s">
        <v>31</v>
      </c>
      <c r="P595">
        <v>1</v>
      </c>
    </row>
    <row r="596" spans="1:16" x14ac:dyDescent="0.35">
      <c r="A596" t="s">
        <v>1725</v>
      </c>
      <c r="B596" s="10" t="s">
        <v>488</v>
      </c>
      <c r="C596" s="11" t="str">
        <f t="shared" si="9"/>
        <v>November</v>
      </c>
      <c r="D596" t="s">
        <v>367</v>
      </c>
      <c r="E596" t="s">
        <v>1726</v>
      </c>
      <c r="F596" t="s">
        <v>36</v>
      </c>
      <c r="G596" t="s">
        <v>37</v>
      </c>
      <c r="H596" t="s">
        <v>21</v>
      </c>
      <c r="I596" t="s">
        <v>105</v>
      </c>
      <c r="J596">
        <v>8</v>
      </c>
      <c r="K596" s="4">
        <v>791.52</v>
      </c>
      <c r="L596" s="2">
        <v>6332.16</v>
      </c>
      <c r="M596">
        <v>0.15</v>
      </c>
      <c r="N596" s="4">
        <v>1007.19</v>
      </c>
      <c r="O596" t="s">
        <v>31</v>
      </c>
      <c r="P596">
        <v>3</v>
      </c>
    </row>
    <row r="597" spans="1:16" x14ac:dyDescent="0.35">
      <c r="A597" t="s">
        <v>1727</v>
      </c>
      <c r="B597" s="10" t="s">
        <v>684</v>
      </c>
      <c r="C597" s="11" t="str">
        <f t="shared" si="9"/>
        <v>March</v>
      </c>
      <c r="D597" t="s">
        <v>678</v>
      </c>
      <c r="E597" t="s">
        <v>1728</v>
      </c>
      <c r="F597" t="s">
        <v>36</v>
      </c>
      <c r="G597" t="s">
        <v>20</v>
      </c>
      <c r="H597" t="s">
        <v>21</v>
      </c>
      <c r="I597" t="s">
        <v>22</v>
      </c>
      <c r="J597">
        <v>5</v>
      </c>
      <c r="K597" s="4">
        <v>988.47</v>
      </c>
      <c r="L597" s="2">
        <v>4942.3500000000004</v>
      </c>
      <c r="M597">
        <v>0</v>
      </c>
      <c r="N597" s="4">
        <v>1816.44</v>
      </c>
      <c r="O597" t="s">
        <v>31</v>
      </c>
      <c r="P597">
        <v>8</v>
      </c>
    </row>
    <row r="598" spans="1:16" x14ac:dyDescent="0.35">
      <c r="A598" t="s">
        <v>1729</v>
      </c>
      <c r="B598" s="10" t="s">
        <v>1195</v>
      </c>
      <c r="C598" s="11" t="str">
        <f t="shared" si="9"/>
        <v>December</v>
      </c>
      <c r="D598" t="s">
        <v>69</v>
      </c>
      <c r="E598" t="s">
        <v>1730</v>
      </c>
      <c r="F598" t="s">
        <v>44</v>
      </c>
      <c r="G598" t="s">
        <v>20</v>
      </c>
      <c r="H598" t="s">
        <v>21</v>
      </c>
      <c r="I598" t="s">
        <v>71</v>
      </c>
      <c r="J598">
        <v>4</v>
      </c>
      <c r="K598" s="4">
        <v>94.47</v>
      </c>
      <c r="L598" s="2">
        <v>377.88</v>
      </c>
      <c r="M598">
        <v>0.05</v>
      </c>
      <c r="N598" s="4">
        <v>136.24</v>
      </c>
      <c r="O598" t="s">
        <v>23</v>
      </c>
      <c r="P598">
        <v>10</v>
      </c>
    </row>
    <row r="599" spans="1:16" x14ac:dyDescent="0.35">
      <c r="A599" t="s">
        <v>1731</v>
      </c>
      <c r="B599" s="10" t="s">
        <v>1732</v>
      </c>
      <c r="C599" s="11" t="str">
        <f t="shared" si="9"/>
        <v>October</v>
      </c>
      <c r="D599" t="s">
        <v>500</v>
      </c>
      <c r="E599" t="s">
        <v>1733</v>
      </c>
      <c r="F599" t="s">
        <v>44</v>
      </c>
      <c r="G599" t="s">
        <v>20</v>
      </c>
      <c r="H599" t="s">
        <v>21</v>
      </c>
      <c r="I599" t="s">
        <v>105</v>
      </c>
      <c r="J599">
        <v>6</v>
      </c>
      <c r="K599" s="4">
        <v>1006.98</v>
      </c>
      <c r="L599" s="2">
        <v>6041.88</v>
      </c>
      <c r="M599">
        <v>0.05</v>
      </c>
      <c r="N599" s="4">
        <v>1402.28</v>
      </c>
      <c r="O599" t="s">
        <v>31</v>
      </c>
      <c r="P599">
        <v>5</v>
      </c>
    </row>
    <row r="600" spans="1:16" x14ac:dyDescent="0.35">
      <c r="A600" t="s">
        <v>1734</v>
      </c>
      <c r="B600" s="10" t="s">
        <v>217</v>
      </c>
      <c r="C600" s="11" t="str">
        <f t="shared" si="9"/>
        <v>May</v>
      </c>
      <c r="D600" t="s">
        <v>206</v>
      </c>
      <c r="E600" t="s">
        <v>1735</v>
      </c>
      <c r="F600" t="s">
        <v>36</v>
      </c>
      <c r="G600" t="s">
        <v>37</v>
      </c>
      <c r="H600" t="s">
        <v>29</v>
      </c>
      <c r="I600" t="s">
        <v>45</v>
      </c>
      <c r="J600">
        <v>3</v>
      </c>
      <c r="K600" s="4">
        <v>841.63</v>
      </c>
      <c r="L600" s="2">
        <v>2524.89</v>
      </c>
      <c r="M600">
        <v>0.2</v>
      </c>
      <c r="N600" s="4">
        <v>977.63</v>
      </c>
      <c r="O600" t="s">
        <v>31</v>
      </c>
      <c r="P600">
        <v>10</v>
      </c>
    </row>
    <row r="601" spans="1:16" x14ac:dyDescent="0.35">
      <c r="A601" t="s">
        <v>1736</v>
      </c>
      <c r="B601" s="10" t="s">
        <v>812</v>
      </c>
      <c r="C601" s="11" t="str">
        <f t="shared" si="9"/>
        <v>April</v>
      </c>
      <c r="D601" t="s">
        <v>912</v>
      </c>
      <c r="E601" t="s">
        <v>1737</v>
      </c>
      <c r="F601" t="s">
        <v>19</v>
      </c>
      <c r="G601" t="s">
        <v>57</v>
      </c>
      <c r="H601" t="s">
        <v>76</v>
      </c>
      <c r="I601" t="s">
        <v>119</v>
      </c>
      <c r="J601">
        <v>1</v>
      </c>
      <c r="K601" s="4">
        <v>1057.96</v>
      </c>
      <c r="L601" s="2">
        <v>1057.96</v>
      </c>
      <c r="M601">
        <v>0</v>
      </c>
      <c r="N601" s="4">
        <v>579.19000000000005</v>
      </c>
      <c r="O601" t="s">
        <v>39</v>
      </c>
      <c r="P601">
        <v>8</v>
      </c>
    </row>
    <row r="602" spans="1:16" x14ac:dyDescent="0.35">
      <c r="A602" t="s">
        <v>1738</v>
      </c>
      <c r="B602" s="10" t="s">
        <v>116</v>
      </c>
      <c r="C602" s="11" t="str">
        <f t="shared" si="9"/>
        <v>July</v>
      </c>
      <c r="D602" t="s">
        <v>146</v>
      </c>
      <c r="E602" t="s">
        <v>1739</v>
      </c>
      <c r="F602" t="s">
        <v>36</v>
      </c>
      <c r="G602" t="s">
        <v>20</v>
      </c>
      <c r="H602" t="s">
        <v>21</v>
      </c>
      <c r="I602" t="s">
        <v>105</v>
      </c>
      <c r="J602">
        <v>4</v>
      </c>
      <c r="K602" s="4">
        <v>188.84</v>
      </c>
      <c r="L602" s="2">
        <v>755.36</v>
      </c>
      <c r="M602">
        <v>0.1</v>
      </c>
      <c r="N602" s="4">
        <v>231.66</v>
      </c>
      <c r="O602" t="s">
        <v>23</v>
      </c>
      <c r="P602">
        <v>3</v>
      </c>
    </row>
    <row r="603" spans="1:16" x14ac:dyDescent="0.35">
      <c r="A603" t="s">
        <v>1740</v>
      </c>
      <c r="B603" s="10" t="s">
        <v>1600</v>
      </c>
      <c r="C603" s="11" t="str">
        <f t="shared" si="9"/>
        <v>June</v>
      </c>
      <c r="D603" t="s">
        <v>514</v>
      </c>
      <c r="E603" t="s">
        <v>1741</v>
      </c>
      <c r="F603" t="s">
        <v>44</v>
      </c>
      <c r="G603" t="s">
        <v>20</v>
      </c>
      <c r="H603" t="s">
        <v>21</v>
      </c>
      <c r="I603" t="s">
        <v>82</v>
      </c>
      <c r="J603">
        <v>10</v>
      </c>
      <c r="K603" s="4">
        <v>1141.3499999999999</v>
      </c>
      <c r="L603" s="2">
        <v>11413.5</v>
      </c>
      <c r="M603">
        <v>0.3</v>
      </c>
      <c r="N603" s="4">
        <v>1752.94</v>
      </c>
      <c r="O603" t="s">
        <v>23</v>
      </c>
      <c r="P603">
        <v>4</v>
      </c>
    </row>
    <row r="604" spans="1:16" x14ac:dyDescent="0.35">
      <c r="A604" t="s">
        <v>1742</v>
      </c>
      <c r="B604" s="10" t="s">
        <v>89</v>
      </c>
      <c r="C604" s="11" t="str">
        <f t="shared" si="9"/>
        <v>October</v>
      </c>
      <c r="D604" t="s">
        <v>199</v>
      </c>
      <c r="E604" t="s">
        <v>1743</v>
      </c>
      <c r="F604" t="s">
        <v>36</v>
      </c>
      <c r="G604" t="s">
        <v>28</v>
      </c>
      <c r="H604" t="s">
        <v>29</v>
      </c>
      <c r="I604" t="s">
        <v>30</v>
      </c>
      <c r="J604">
        <v>9</v>
      </c>
      <c r="K604" s="4">
        <v>1172.6099999999999</v>
      </c>
      <c r="L604" s="2">
        <v>10553.49</v>
      </c>
      <c r="M604">
        <v>0.2</v>
      </c>
      <c r="N604" s="4">
        <v>3421.35</v>
      </c>
      <c r="O604" t="s">
        <v>23</v>
      </c>
      <c r="P604">
        <v>4</v>
      </c>
    </row>
    <row r="605" spans="1:16" x14ac:dyDescent="0.35">
      <c r="A605" t="s">
        <v>1744</v>
      </c>
      <c r="B605" s="10" t="s">
        <v>675</v>
      </c>
      <c r="C605" s="11" t="str">
        <f t="shared" si="9"/>
        <v>August</v>
      </c>
      <c r="D605" t="s">
        <v>822</v>
      </c>
      <c r="E605" t="s">
        <v>1745</v>
      </c>
      <c r="F605" t="s">
        <v>36</v>
      </c>
      <c r="G605" t="s">
        <v>37</v>
      </c>
      <c r="H605" t="s">
        <v>76</v>
      </c>
      <c r="I605" t="s">
        <v>77</v>
      </c>
      <c r="J605">
        <v>4</v>
      </c>
      <c r="K605" s="4">
        <v>152.96</v>
      </c>
      <c r="L605" s="2">
        <v>611.84</v>
      </c>
      <c r="M605">
        <v>0.05</v>
      </c>
      <c r="N605" s="4">
        <v>160.37</v>
      </c>
      <c r="O605" t="s">
        <v>23</v>
      </c>
      <c r="P605">
        <v>1</v>
      </c>
    </row>
    <row r="606" spans="1:16" x14ac:dyDescent="0.35">
      <c r="A606" t="s">
        <v>1746</v>
      </c>
      <c r="B606" s="10" t="s">
        <v>1627</v>
      </c>
      <c r="C606" s="11" t="str">
        <f t="shared" si="9"/>
        <v>November</v>
      </c>
      <c r="D606" t="s">
        <v>253</v>
      </c>
      <c r="E606" t="s">
        <v>1747</v>
      </c>
      <c r="F606" t="s">
        <v>44</v>
      </c>
      <c r="G606" t="s">
        <v>20</v>
      </c>
      <c r="H606" t="s">
        <v>29</v>
      </c>
      <c r="I606" t="s">
        <v>62</v>
      </c>
      <c r="J606">
        <v>6</v>
      </c>
      <c r="K606" s="4">
        <v>356.38</v>
      </c>
      <c r="L606" s="2">
        <v>2138.2800000000002</v>
      </c>
      <c r="M606">
        <v>0.15</v>
      </c>
      <c r="N606" s="4">
        <v>816.89</v>
      </c>
      <c r="O606" t="s">
        <v>31</v>
      </c>
      <c r="P606">
        <v>1</v>
      </c>
    </row>
    <row r="607" spans="1:16" x14ac:dyDescent="0.35">
      <c r="A607" t="s">
        <v>1748</v>
      </c>
      <c r="B607" s="10" t="s">
        <v>1400</v>
      </c>
      <c r="C607" s="11" t="str">
        <f t="shared" si="9"/>
        <v>February</v>
      </c>
      <c r="D607" t="s">
        <v>444</v>
      </c>
      <c r="E607" t="s">
        <v>1749</v>
      </c>
      <c r="F607" t="s">
        <v>19</v>
      </c>
      <c r="G607" t="s">
        <v>28</v>
      </c>
      <c r="H607" t="s">
        <v>21</v>
      </c>
      <c r="I607" t="s">
        <v>105</v>
      </c>
      <c r="J607">
        <v>3</v>
      </c>
      <c r="K607" s="4">
        <v>946.88</v>
      </c>
      <c r="L607" s="2">
        <v>2840.64</v>
      </c>
      <c r="M607">
        <v>0.15</v>
      </c>
      <c r="N607" s="4">
        <v>830.7</v>
      </c>
      <c r="O607" t="s">
        <v>23</v>
      </c>
      <c r="P607">
        <v>10</v>
      </c>
    </row>
    <row r="608" spans="1:16" x14ac:dyDescent="0.35">
      <c r="A608" t="s">
        <v>1750</v>
      </c>
      <c r="B608" s="10" t="s">
        <v>1050</v>
      </c>
      <c r="C608" s="11" t="str">
        <f t="shared" si="9"/>
        <v>February</v>
      </c>
      <c r="D608" t="s">
        <v>420</v>
      </c>
      <c r="E608" t="s">
        <v>1751</v>
      </c>
      <c r="F608" t="s">
        <v>36</v>
      </c>
      <c r="G608" t="s">
        <v>20</v>
      </c>
      <c r="H608" t="s">
        <v>76</v>
      </c>
      <c r="I608" t="s">
        <v>128</v>
      </c>
      <c r="J608">
        <v>4</v>
      </c>
      <c r="K608" s="4">
        <v>901.56</v>
      </c>
      <c r="L608" s="2">
        <v>3606.24</v>
      </c>
      <c r="M608">
        <v>0.1</v>
      </c>
      <c r="N608" s="4">
        <v>1486.41</v>
      </c>
      <c r="O608" t="s">
        <v>31</v>
      </c>
      <c r="P608">
        <v>7</v>
      </c>
    </row>
    <row r="609" spans="1:16" x14ac:dyDescent="0.35">
      <c r="A609" t="s">
        <v>1752</v>
      </c>
      <c r="B609" s="10" t="s">
        <v>1053</v>
      </c>
      <c r="C609" s="11" t="str">
        <f t="shared" si="9"/>
        <v>August</v>
      </c>
      <c r="D609" t="s">
        <v>218</v>
      </c>
      <c r="E609" t="s">
        <v>1753</v>
      </c>
      <c r="F609" t="s">
        <v>36</v>
      </c>
      <c r="G609" t="s">
        <v>28</v>
      </c>
      <c r="H609" t="s">
        <v>29</v>
      </c>
      <c r="I609" t="s">
        <v>45</v>
      </c>
      <c r="J609">
        <v>4</v>
      </c>
      <c r="K609" s="4">
        <v>106.77</v>
      </c>
      <c r="L609" s="2">
        <v>427.08</v>
      </c>
      <c r="M609">
        <v>0.2</v>
      </c>
      <c r="N609" s="4">
        <v>121.71</v>
      </c>
      <c r="O609" t="s">
        <v>31</v>
      </c>
      <c r="P609">
        <v>7</v>
      </c>
    </row>
    <row r="610" spans="1:16" x14ac:dyDescent="0.35">
      <c r="A610" t="s">
        <v>1754</v>
      </c>
      <c r="B610" s="10" t="s">
        <v>842</v>
      </c>
      <c r="C610" s="11" t="str">
        <f t="shared" si="9"/>
        <v>May</v>
      </c>
      <c r="D610" t="s">
        <v>859</v>
      </c>
      <c r="E610" t="s">
        <v>1755</v>
      </c>
      <c r="F610" t="s">
        <v>44</v>
      </c>
      <c r="G610" t="s">
        <v>37</v>
      </c>
      <c r="H610" t="s">
        <v>76</v>
      </c>
      <c r="I610" t="s">
        <v>119</v>
      </c>
      <c r="J610">
        <v>8</v>
      </c>
      <c r="K610" s="4">
        <v>869.39</v>
      </c>
      <c r="L610" s="2">
        <v>6955.12</v>
      </c>
      <c r="M610">
        <v>0.3</v>
      </c>
      <c r="N610" s="4">
        <v>1979.39</v>
      </c>
      <c r="O610" t="s">
        <v>31</v>
      </c>
      <c r="P610">
        <v>10</v>
      </c>
    </row>
    <row r="611" spans="1:16" x14ac:dyDescent="0.35">
      <c r="A611" t="s">
        <v>1756</v>
      </c>
      <c r="B611" s="10" t="s">
        <v>684</v>
      </c>
      <c r="C611" s="11" t="str">
        <f t="shared" si="9"/>
        <v>March</v>
      </c>
      <c r="D611" t="s">
        <v>253</v>
      </c>
      <c r="E611" t="s">
        <v>1757</v>
      </c>
      <c r="F611" t="s">
        <v>44</v>
      </c>
      <c r="G611" t="s">
        <v>37</v>
      </c>
      <c r="H611" t="s">
        <v>29</v>
      </c>
      <c r="I611" t="s">
        <v>110</v>
      </c>
      <c r="J611">
        <v>3</v>
      </c>
      <c r="K611" s="4">
        <v>151.11000000000001</v>
      </c>
      <c r="L611" s="2">
        <v>453.33</v>
      </c>
      <c r="M611">
        <v>0.15</v>
      </c>
      <c r="N611" s="4">
        <v>141.25</v>
      </c>
      <c r="O611" t="s">
        <v>39</v>
      </c>
      <c r="P611">
        <v>10</v>
      </c>
    </row>
    <row r="612" spans="1:16" x14ac:dyDescent="0.35">
      <c r="A612" t="s">
        <v>1758</v>
      </c>
      <c r="B612" s="10" t="s">
        <v>401</v>
      </c>
      <c r="C612" s="11" t="str">
        <f t="shared" si="9"/>
        <v>April</v>
      </c>
      <c r="D612" t="s">
        <v>912</v>
      </c>
      <c r="E612" t="s">
        <v>1759</v>
      </c>
      <c r="F612" t="s">
        <v>44</v>
      </c>
      <c r="G612" t="s">
        <v>28</v>
      </c>
      <c r="H612" t="s">
        <v>29</v>
      </c>
      <c r="I612" t="s">
        <v>62</v>
      </c>
      <c r="J612">
        <v>10</v>
      </c>
      <c r="K612" s="4">
        <v>1088.58</v>
      </c>
      <c r="L612" s="2">
        <v>10885.8</v>
      </c>
      <c r="M612">
        <v>0.2</v>
      </c>
      <c r="N612" s="4">
        <v>1410.33</v>
      </c>
      <c r="O612" t="s">
        <v>31</v>
      </c>
      <c r="P612">
        <v>10</v>
      </c>
    </row>
    <row r="613" spans="1:16" x14ac:dyDescent="0.35">
      <c r="A613" t="s">
        <v>1760</v>
      </c>
      <c r="B613" s="10" t="s">
        <v>1409</v>
      </c>
      <c r="C613" s="11" t="str">
        <f t="shared" si="9"/>
        <v>May</v>
      </c>
      <c r="D613" t="s">
        <v>654</v>
      </c>
      <c r="E613" t="s">
        <v>1761</v>
      </c>
      <c r="F613" t="s">
        <v>44</v>
      </c>
      <c r="G613" t="s">
        <v>28</v>
      </c>
      <c r="H613" t="s">
        <v>76</v>
      </c>
      <c r="I613" t="s">
        <v>128</v>
      </c>
      <c r="J613">
        <v>5</v>
      </c>
      <c r="K613" s="4">
        <v>37.11</v>
      </c>
      <c r="L613" s="2">
        <v>185.55</v>
      </c>
      <c r="M613">
        <v>0.15</v>
      </c>
      <c r="N613" s="4">
        <v>40.299999999999997</v>
      </c>
      <c r="O613" t="s">
        <v>23</v>
      </c>
      <c r="P613">
        <v>4</v>
      </c>
    </row>
    <row r="614" spans="1:16" x14ac:dyDescent="0.35">
      <c r="A614" t="s">
        <v>1762</v>
      </c>
      <c r="B614" s="10" t="s">
        <v>170</v>
      </c>
      <c r="C614" s="11" t="str">
        <f t="shared" si="9"/>
        <v>January</v>
      </c>
      <c r="D614" t="s">
        <v>374</v>
      </c>
      <c r="E614" t="s">
        <v>1763</v>
      </c>
      <c r="F614" t="s">
        <v>19</v>
      </c>
      <c r="G614" t="s">
        <v>20</v>
      </c>
      <c r="H614" t="s">
        <v>21</v>
      </c>
      <c r="I614" t="s">
        <v>105</v>
      </c>
      <c r="J614">
        <v>10</v>
      </c>
      <c r="K614" s="4">
        <v>1079.94</v>
      </c>
      <c r="L614" s="2">
        <v>10799.4</v>
      </c>
      <c r="M614">
        <v>0.15</v>
      </c>
      <c r="N614" s="4">
        <v>1449.68</v>
      </c>
      <c r="O614" t="s">
        <v>39</v>
      </c>
      <c r="P614">
        <v>9</v>
      </c>
    </row>
    <row r="615" spans="1:16" x14ac:dyDescent="0.35">
      <c r="A615" t="s">
        <v>1764</v>
      </c>
      <c r="B615" s="10" t="s">
        <v>960</v>
      </c>
      <c r="C615" s="11" t="str">
        <f t="shared" si="9"/>
        <v>January</v>
      </c>
      <c r="D615" t="s">
        <v>863</v>
      </c>
      <c r="E615" t="s">
        <v>1765</v>
      </c>
      <c r="F615" t="s">
        <v>19</v>
      </c>
      <c r="G615" t="s">
        <v>28</v>
      </c>
      <c r="H615" t="s">
        <v>76</v>
      </c>
      <c r="I615" t="s">
        <v>128</v>
      </c>
      <c r="J615">
        <v>2</v>
      </c>
      <c r="K615" s="4">
        <v>553.88</v>
      </c>
      <c r="L615" s="2">
        <v>1107.76</v>
      </c>
      <c r="M615">
        <v>0.05</v>
      </c>
      <c r="N615" s="4">
        <v>543.83000000000004</v>
      </c>
      <c r="O615" t="s">
        <v>31</v>
      </c>
      <c r="P615">
        <v>3</v>
      </c>
    </row>
    <row r="616" spans="1:16" x14ac:dyDescent="0.35">
      <c r="A616" t="s">
        <v>1766</v>
      </c>
      <c r="B616" s="10" t="s">
        <v>278</v>
      </c>
      <c r="C616" s="11" t="str">
        <f t="shared" si="9"/>
        <v>December</v>
      </c>
      <c r="D616" t="s">
        <v>324</v>
      </c>
      <c r="E616" t="s">
        <v>1767</v>
      </c>
      <c r="F616" t="s">
        <v>36</v>
      </c>
      <c r="G616" t="s">
        <v>28</v>
      </c>
      <c r="H616" t="s">
        <v>76</v>
      </c>
      <c r="I616" t="s">
        <v>87</v>
      </c>
      <c r="J616">
        <v>4</v>
      </c>
      <c r="K616" s="4">
        <v>784.22</v>
      </c>
      <c r="L616" s="2">
        <v>3136.88</v>
      </c>
      <c r="M616">
        <v>0</v>
      </c>
      <c r="N616" s="4">
        <v>1705.3</v>
      </c>
      <c r="O616" t="s">
        <v>23</v>
      </c>
      <c r="P616">
        <v>10</v>
      </c>
    </row>
    <row r="617" spans="1:16" x14ac:dyDescent="0.35">
      <c r="A617" t="s">
        <v>1768</v>
      </c>
      <c r="B617" s="10" t="s">
        <v>429</v>
      </c>
      <c r="C617" s="11" t="str">
        <f t="shared" si="9"/>
        <v>July</v>
      </c>
      <c r="D617" t="s">
        <v>378</v>
      </c>
      <c r="E617" t="s">
        <v>1769</v>
      </c>
      <c r="F617" t="s">
        <v>44</v>
      </c>
      <c r="G617" t="s">
        <v>20</v>
      </c>
      <c r="H617" t="s">
        <v>29</v>
      </c>
      <c r="I617" t="s">
        <v>45</v>
      </c>
      <c r="J617">
        <v>8</v>
      </c>
      <c r="K617" s="4">
        <v>930.77</v>
      </c>
      <c r="L617" s="2">
        <v>7446.16</v>
      </c>
      <c r="M617">
        <v>0.3</v>
      </c>
      <c r="N617" s="4">
        <v>2021.63</v>
      </c>
      <c r="O617" t="s">
        <v>23</v>
      </c>
      <c r="P617">
        <v>2</v>
      </c>
    </row>
    <row r="618" spans="1:16" x14ac:dyDescent="0.35">
      <c r="A618" t="s">
        <v>1770</v>
      </c>
      <c r="B618" s="10" t="s">
        <v>1771</v>
      </c>
      <c r="C618" s="11" t="str">
        <f t="shared" si="9"/>
        <v>December</v>
      </c>
      <c r="D618" t="s">
        <v>618</v>
      </c>
      <c r="E618" t="s">
        <v>1772</v>
      </c>
      <c r="F618" t="s">
        <v>19</v>
      </c>
      <c r="G618" t="s">
        <v>37</v>
      </c>
      <c r="H618" t="s">
        <v>76</v>
      </c>
      <c r="I618" t="s">
        <v>87</v>
      </c>
      <c r="J618">
        <v>9</v>
      </c>
      <c r="K618" s="4">
        <v>58.6</v>
      </c>
      <c r="L618" s="2">
        <v>527.4</v>
      </c>
      <c r="M618">
        <v>0.15</v>
      </c>
      <c r="N618" s="4">
        <v>111.55</v>
      </c>
      <c r="O618" t="s">
        <v>23</v>
      </c>
      <c r="P618">
        <v>2</v>
      </c>
    </row>
    <row r="619" spans="1:16" x14ac:dyDescent="0.35">
      <c r="A619" t="s">
        <v>1773</v>
      </c>
      <c r="B619" s="10" t="s">
        <v>344</v>
      </c>
      <c r="C619" s="11" t="str">
        <f t="shared" si="9"/>
        <v>January</v>
      </c>
      <c r="D619" t="s">
        <v>740</v>
      </c>
      <c r="E619" t="s">
        <v>1774</v>
      </c>
      <c r="F619" t="s">
        <v>44</v>
      </c>
      <c r="G619" t="s">
        <v>57</v>
      </c>
      <c r="H619" t="s">
        <v>21</v>
      </c>
      <c r="I619" t="s">
        <v>38</v>
      </c>
      <c r="J619">
        <v>1</v>
      </c>
      <c r="K619" s="4">
        <v>627.39</v>
      </c>
      <c r="L619" s="2">
        <v>627.39</v>
      </c>
      <c r="M619">
        <v>0.3</v>
      </c>
      <c r="N619" s="4">
        <v>177.6</v>
      </c>
      <c r="O619" t="s">
        <v>39</v>
      </c>
      <c r="P619">
        <v>10</v>
      </c>
    </row>
    <row r="620" spans="1:16" x14ac:dyDescent="0.35">
      <c r="A620" t="s">
        <v>1775</v>
      </c>
      <c r="B620" s="10" t="s">
        <v>25</v>
      </c>
      <c r="C620" s="11" t="str">
        <f t="shared" si="9"/>
        <v>October</v>
      </c>
      <c r="D620" t="s">
        <v>349</v>
      </c>
      <c r="E620" t="s">
        <v>1776</v>
      </c>
      <c r="F620" t="s">
        <v>36</v>
      </c>
      <c r="G620" t="s">
        <v>37</v>
      </c>
      <c r="H620" t="s">
        <v>29</v>
      </c>
      <c r="I620" t="s">
        <v>110</v>
      </c>
      <c r="J620">
        <v>6</v>
      </c>
      <c r="K620" s="4">
        <v>226.82</v>
      </c>
      <c r="L620" s="2">
        <v>1360.92</v>
      </c>
      <c r="M620">
        <v>0.2</v>
      </c>
      <c r="N620" s="4">
        <v>291.83999999999997</v>
      </c>
      <c r="O620" t="s">
        <v>39</v>
      </c>
      <c r="P620">
        <v>4</v>
      </c>
    </row>
    <row r="621" spans="1:16" x14ac:dyDescent="0.35">
      <c r="A621" t="s">
        <v>1777</v>
      </c>
      <c r="B621" s="10" t="s">
        <v>735</v>
      </c>
      <c r="C621" s="11" t="str">
        <f t="shared" si="9"/>
        <v>December</v>
      </c>
      <c r="D621" t="s">
        <v>1778</v>
      </c>
      <c r="E621" t="s">
        <v>1779</v>
      </c>
      <c r="F621" t="s">
        <v>19</v>
      </c>
      <c r="G621" t="s">
        <v>37</v>
      </c>
      <c r="H621" t="s">
        <v>21</v>
      </c>
      <c r="I621" t="s">
        <v>22</v>
      </c>
      <c r="J621">
        <v>8</v>
      </c>
      <c r="K621" s="4">
        <v>890.11</v>
      </c>
      <c r="L621" s="2">
        <v>7120.88</v>
      </c>
      <c r="M621">
        <v>0.2</v>
      </c>
      <c r="N621" s="4">
        <v>1148.1600000000001</v>
      </c>
      <c r="O621" t="s">
        <v>39</v>
      </c>
      <c r="P621">
        <v>6</v>
      </c>
    </row>
    <row r="622" spans="1:16" x14ac:dyDescent="0.35">
      <c r="A622" t="s">
        <v>1780</v>
      </c>
      <c r="B622" s="10" t="s">
        <v>922</v>
      </c>
      <c r="C622" s="11" t="str">
        <f t="shared" si="9"/>
        <v>August</v>
      </c>
      <c r="D622" t="s">
        <v>231</v>
      </c>
      <c r="E622" t="s">
        <v>1781</v>
      </c>
      <c r="F622" t="s">
        <v>19</v>
      </c>
      <c r="G622" t="s">
        <v>20</v>
      </c>
      <c r="H622" t="s">
        <v>76</v>
      </c>
      <c r="I622" t="s">
        <v>177</v>
      </c>
      <c r="J622">
        <v>7</v>
      </c>
      <c r="K622" s="4">
        <v>347.03</v>
      </c>
      <c r="L622" s="2">
        <v>2429.21</v>
      </c>
      <c r="M622">
        <v>0</v>
      </c>
      <c r="N622" s="4">
        <v>973.81</v>
      </c>
      <c r="O622" t="s">
        <v>39</v>
      </c>
      <c r="P622">
        <v>9</v>
      </c>
    </row>
    <row r="623" spans="1:16" x14ac:dyDescent="0.35">
      <c r="A623" t="s">
        <v>1782</v>
      </c>
      <c r="B623" s="10" t="s">
        <v>552</v>
      </c>
      <c r="C623" s="11" t="str">
        <f t="shared" si="9"/>
        <v>December</v>
      </c>
      <c r="D623" t="s">
        <v>1574</v>
      </c>
      <c r="E623" t="s">
        <v>1783</v>
      </c>
      <c r="F623" t="s">
        <v>36</v>
      </c>
      <c r="G623" t="s">
        <v>28</v>
      </c>
      <c r="H623" t="s">
        <v>21</v>
      </c>
      <c r="I623" t="s">
        <v>71</v>
      </c>
      <c r="J623">
        <v>5</v>
      </c>
      <c r="K623" s="4">
        <v>553.33000000000004</v>
      </c>
      <c r="L623" s="2">
        <v>2766.65</v>
      </c>
      <c r="M623">
        <v>0.1</v>
      </c>
      <c r="N623" s="4">
        <v>572.79</v>
      </c>
      <c r="O623" t="s">
        <v>31</v>
      </c>
      <c r="P623">
        <v>2</v>
      </c>
    </row>
    <row r="624" spans="1:16" x14ac:dyDescent="0.35">
      <c r="A624" t="s">
        <v>1784</v>
      </c>
      <c r="B624" s="10" t="s">
        <v>1702</v>
      </c>
      <c r="C624" s="11" t="str">
        <f t="shared" si="9"/>
        <v>May</v>
      </c>
      <c r="D624" t="s">
        <v>740</v>
      </c>
      <c r="E624" t="s">
        <v>1785</v>
      </c>
      <c r="F624" t="s">
        <v>19</v>
      </c>
      <c r="G624" t="s">
        <v>37</v>
      </c>
      <c r="H624" t="s">
        <v>76</v>
      </c>
      <c r="I624" t="s">
        <v>119</v>
      </c>
      <c r="J624">
        <v>5</v>
      </c>
      <c r="K624" s="4">
        <v>1150.74</v>
      </c>
      <c r="L624" s="2">
        <v>5753.7</v>
      </c>
      <c r="M624">
        <v>0</v>
      </c>
      <c r="N624" s="4">
        <v>2912.83</v>
      </c>
      <c r="O624" t="s">
        <v>39</v>
      </c>
      <c r="P624">
        <v>3</v>
      </c>
    </row>
    <row r="625" spans="1:16" x14ac:dyDescent="0.35">
      <c r="A625" t="s">
        <v>1786</v>
      </c>
      <c r="B625" s="10" t="s">
        <v>919</v>
      </c>
      <c r="C625" s="11" t="str">
        <f t="shared" si="9"/>
        <v>March</v>
      </c>
      <c r="D625" t="s">
        <v>214</v>
      </c>
      <c r="E625" t="s">
        <v>1787</v>
      </c>
      <c r="F625" t="s">
        <v>44</v>
      </c>
      <c r="G625" t="s">
        <v>28</v>
      </c>
      <c r="H625" t="s">
        <v>29</v>
      </c>
      <c r="I625" t="s">
        <v>100</v>
      </c>
      <c r="J625">
        <v>1</v>
      </c>
      <c r="K625" s="4">
        <v>365.94</v>
      </c>
      <c r="L625" s="2">
        <v>365.94</v>
      </c>
      <c r="M625">
        <v>0.3</v>
      </c>
      <c r="N625" s="4">
        <v>85.41</v>
      </c>
      <c r="O625" t="s">
        <v>39</v>
      </c>
      <c r="P625">
        <v>1</v>
      </c>
    </row>
    <row r="626" spans="1:16" x14ac:dyDescent="0.35">
      <c r="A626" t="s">
        <v>1788</v>
      </c>
      <c r="B626" s="10" t="s">
        <v>230</v>
      </c>
      <c r="C626" s="11" t="str">
        <f t="shared" si="9"/>
        <v>September</v>
      </c>
      <c r="D626" t="s">
        <v>353</v>
      </c>
      <c r="E626" t="s">
        <v>1789</v>
      </c>
      <c r="F626" t="s">
        <v>44</v>
      </c>
      <c r="G626" t="s">
        <v>28</v>
      </c>
      <c r="H626" t="s">
        <v>76</v>
      </c>
      <c r="I626" t="s">
        <v>119</v>
      </c>
      <c r="J626">
        <v>2</v>
      </c>
      <c r="K626" s="4">
        <v>46</v>
      </c>
      <c r="L626" s="2">
        <v>92</v>
      </c>
      <c r="M626">
        <v>0.05</v>
      </c>
      <c r="N626" s="4">
        <v>18.88</v>
      </c>
      <c r="O626" t="s">
        <v>23</v>
      </c>
      <c r="P626">
        <v>6</v>
      </c>
    </row>
    <row r="627" spans="1:16" x14ac:dyDescent="0.35">
      <c r="A627" t="s">
        <v>1790</v>
      </c>
      <c r="B627" s="10" t="s">
        <v>1791</v>
      </c>
      <c r="C627" s="11" t="str">
        <f t="shared" si="9"/>
        <v>October</v>
      </c>
      <c r="D627" t="s">
        <v>1792</v>
      </c>
      <c r="E627" t="s">
        <v>1793</v>
      </c>
      <c r="F627" t="s">
        <v>44</v>
      </c>
      <c r="G627" t="s">
        <v>57</v>
      </c>
      <c r="H627" t="s">
        <v>21</v>
      </c>
      <c r="I627" t="s">
        <v>38</v>
      </c>
      <c r="J627">
        <v>8</v>
      </c>
      <c r="K627" s="4">
        <v>720.16</v>
      </c>
      <c r="L627" s="2">
        <v>5761.28</v>
      </c>
      <c r="M627">
        <v>0.3</v>
      </c>
      <c r="N627" s="4">
        <v>1362.85</v>
      </c>
      <c r="O627" t="s">
        <v>23</v>
      </c>
      <c r="P627">
        <v>3</v>
      </c>
    </row>
    <row r="628" spans="1:16" x14ac:dyDescent="0.35">
      <c r="A628" t="s">
        <v>1794</v>
      </c>
      <c r="B628" s="10" t="s">
        <v>775</v>
      </c>
      <c r="C628" s="11" t="str">
        <f t="shared" si="9"/>
        <v>January</v>
      </c>
      <c r="D628" t="s">
        <v>218</v>
      </c>
      <c r="E628" t="s">
        <v>1795</v>
      </c>
      <c r="F628" t="s">
        <v>44</v>
      </c>
      <c r="G628" t="s">
        <v>57</v>
      </c>
      <c r="H628" t="s">
        <v>76</v>
      </c>
      <c r="I628" t="s">
        <v>119</v>
      </c>
      <c r="J628">
        <v>5</v>
      </c>
      <c r="K628" s="4">
        <v>287.60000000000002</v>
      </c>
      <c r="L628" s="2">
        <v>1438</v>
      </c>
      <c r="M628">
        <v>0.1</v>
      </c>
      <c r="N628" s="4">
        <v>209.29</v>
      </c>
      <c r="O628" t="s">
        <v>39</v>
      </c>
      <c r="P628">
        <v>3</v>
      </c>
    </row>
    <row r="629" spans="1:16" x14ac:dyDescent="0.35">
      <c r="A629" t="s">
        <v>1796</v>
      </c>
      <c r="B629" s="10" t="s">
        <v>552</v>
      </c>
      <c r="C629" s="11" t="str">
        <f t="shared" si="9"/>
        <v>December</v>
      </c>
      <c r="D629" t="s">
        <v>472</v>
      </c>
      <c r="E629" t="s">
        <v>1797</v>
      </c>
      <c r="F629" t="s">
        <v>36</v>
      </c>
      <c r="G629" t="s">
        <v>37</v>
      </c>
      <c r="H629" t="s">
        <v>21</v>
      </c>
      <c r="I629" t="s">
        <v>105</v>
      </c>
      <c r="J629">
        <v>9</v>
      </c>
      <c r="K629" s="4">
        <v>356.59</v>
      </c>
      <c r="L629" s="2">
        <v>3209.31</v>
      </c>
      <c r="M629">
        <v>0.05</v>
      </c>
      <c r="N629" s="4">
        <v>653.27</v>
      </c>
      <c r="O629" t="s">
        <v>31</v>
      </c>
      <c r="P629">
        <v>2</v>
      </c>
    </row>
    <row r="630" spans="1:16" x14ac:dyDescent="0.35">
      <c r="A630" t="s">
        <v>1798</v>
      </c>
      <c r="B630" s="10" t="s">
        <v>743</v>
      </c>
      <c r="C630" s="11" t="str">
        <f t="shared" si="9"/>
        <v>April</v>
      </c>
      <c r="D630" t="s">
        <v>542</v>
      </c>
      <c r="E630" t="s">
        <v>1799</v>
      </c>
      <c r="F630" t="s">
        <v>19</v>
      </c>
      <c r="G630" t="s">
        <v>20</v>
      </c>
      <c r="H630" t="s">
        <v>29</v>
      </c>
      <c r="I630" t="s">
        <v>110</v>
      </c>
      <c r="J630">
        <v>10</v>
      </c>
      <c r="K630" s="4">
        <v>169.24</v>
      </c>
      <c r="L630" s="2">
        <v>1692.4</v>
      </c>
      <c r="M630">
        <v>0.1</v>
      </c>
      <c r="N630" s="4">
        <v>612.51</v>
      </c>
      <c r="O630" t="s">
        <v>23</v>
      </c>
      <c r="P630">
        <v>6</v>
      </c>
    </row>
    <row r="631" spans="1:16" x14ac:dyDescent="0.35">
      <c r="A631" t="s">
        <v>1800</v>
      </c>
      <c r="B631" s="10" t="s">
        <v>221</v>
      </c>
      <c r="C631" s="11" t="str">
        <f t="shared" si="9"/>
        <v>March</v>
      </c>
      <c r="D631" t="s">
        <v>249</v>
      </c>
      <c r="E631" t="s">
        <v>1801</v>
      </c>
      <c r="F631" t="s">
        <v>44</v>
      </c>
      <c r="G631" t="s">
        <v>28</v>
      </c>
      <c r="H631" t="s">
        <v>76</v>
      </c>
      <c r="I631" t="s">
        <v>119</v>
      </c>
      <c r="J631">
        <v>6</v>
      </c>
      <c r="K631" s="4">
        <v>549.15</v>
      </c>
      <c r="L631" s="2">
        <v>3294.9</v>
      </c>
      <c r="M631">
        <v>0.05</v>
      </c>
      <c r="N631" s="4">
        <v>1053.43</v>
      </c>
      <c r="O631" t="s">
        <v>31</v>
      </c>
      <c r="P631">
        <v>8</v>
      </c>
    </row>
    <row r="632" spans="1:16" x14ac:dyDescent="0.35">
      <c r="A632" t="s">
        <v>1802</v>
      </c>
      <c r="B632" s="10" t="s">
        <v>1179</v>
      </c>
      <c r="C632" s="11" t="str">
        <f t="shared" si="9"/>
        <v>June</v>
      </c>
      <c r="D632" t="s">
        <v>353</v>
      </c>
      <c r="E632" t="s">
        <v>1803</v>
      </c>
      <c r="F632" t="s">
        <v>19</v>
      </c>
      <c r="G632" t="s">
        <v>57</v>
      </c>
      <c r="H632" t="s">
        <v>76</v>
      </c>
      <c r="I632" t="s">
        <v>119</v>
      </c>
      <c r="J632">
        <v>1</v>
      </c>
      <c r="K632" s="4">
        <v>1164.78</v>
      </c>
      <c r="L632" s="2">
        <v>1164.78</v>
      </c>
      <c r="M632">
        <v>0.2</v>
      </c>
      <c r="N632" s="4">
        <v>148.87</v>
      </c>
      <c r="O632" t="s">
        <v>39</v>
      </c>
      <c r="P632">
        <v>5</v>
      </c>
    </row>
    <row r="633" spans="1:16" x14ac:dyDescent="0.35">
      <c r="A633" t="s">
        <v>1804</v>
      </c>
      <c r="B633" s="10" t="s">
        <v>762</v>
      </c>
      <c r="C633" s="11" t="str">
        <f t="shared" si="9"/>
        <v>February</v>
      </c>
      <c r="D633" t="s">
        <v>651</v>
      </c>
      <c r="E633" t="s">
        <v>1805</v>
      </c>
      <c r="F633" t="s">
        <v>44</v>
      </c>
      <c r="G633" t="s">
        <v>20</v>
      </c>
      <c r="H633" t="s">
        <v>21</v>
      </c>
      <c r="I633" t="s">
        <v>105</v>
      </c>
      <c r="J633">
        <v>10</v>
      </c>
      <c r="K633" s="4">
        <v>879.68</v>
      </c>
      <c r="L633" s="2">
        <v>8796.7999999999993</v>
      </c>
      <c r="M633">
        <v>0.15</v>
      </c>
      <c r="N633" s="4">
        <v>3099.53</v>
      </c>
      <c r="O633" t="s">
        <v>31</v>
      </c>
      <c r="P633">
        <v>9</v>
      </c>
    </row>
    <row r="634" spans="1:16" x14ac:dyDescent="0.35">
      <c r="A634" t="s">
        <v>1806</v>
      </c>
      <c r="B634" s="10" t="s">
        <v>1624</v>
      </c>
      <c r="C634" s="11" t="str">
        <f t="shared" si="9"/>
        <v>February</v>
      </c>
      <c r="D634" t="s">
        <v>420</v>
      </c>
      <c r="E634" t="s">
        <v>1807</v>
      </c>
      <c r="F634" t="s">
        <v>36</v>
      </c>
      <c r="G634" t="s">
        <v>37</v>
      </c>
      <c r="H634" t="s">
        <v>29</v>
      </c>
      <c r="I634" t="s">
        <v>110</v>
      </c>
      <c r="J634">
        <v>1</v>
      </c>
      <c r="K634" s="4">
        <v>493.92</v>
      </c>
      <c r="L634" s="2">
        <v>493.92</v>
      </c>
      <c r="M634">
        <v>0.05</v>
      </c>
      <c r="N634" s="4">
        <v>174.37</v>
      </c>
      <c r="O634" t="s">
        <v>23</v>
      </c>
      <c r="P634">
        <v>9</v>
      </c>
    </row>
    <row r="635" spans="1:16" x14ac:dyDescent="0.35">
      <c r="A635" t="s">
        <v>1808</v>
      </c>
      <c r="B635" s="10" t="s">
        <v>1809</v>
      </c>
      <c r="C635" s="11" t="str">
        <f t="shared" si="9"/>
        <v>December</v>
      </c>
      <c r="D635" t="s">
        <v>1237</v>
      </c>
      <c r="E635" t="s">
        <v>1810</v>
      </c>
      <c r="F635" t="s">
        <v>36</v>
      </c>
      <c r="G635" t="s">
        <v>28</v>
      </c>
      <c r="H635" t="s">
        <v>29</v>
      </c>
      <c r="I635" t="s">
        <v>110</v>
      </c>
      <c r="J635">
        <v>4</v>
      </c>
      <c r="K635" s="4">
        <v>46.61</v>
      </c>
      <c r="L635" s="2">
        <v>186.44</v>
      </c>
      <c r="M635">
        <v>0.2</v>
      </c>
      <c r="N635" s="4">
        <v>31.35</v>
      </c>
      <c r="O635" t="s">
        <v>31</v>
      </c>
      <c r="P635">
        <v>8</v>
      </c>
    </row>
    <row r="636" spans="1:16" x14ac:dyDescent="0.35">
      <c r="A636" t="s">
        <v>1811</v>
      </c>
      <c r="B636" s="10" t="s">
        <v>1392</v>
      </c>
      <c r="C636" s="11" t="str">
        <f t="shared" si="9"/>
        <v>July</v>
      </c>
      <c r="D636" t="s">
        <v>510</v>
      </c>
      <c r="E636" t="s">
        <v>1812</v>
      </c>
      <c r="F636" t="s">
        <v>36</v>
      </c>
      <c r="G636" t="s">
        <v>28</v>
      </c>
      <c r="H636" t="s">
        <v>76</v>
      </c>
      <c r="I636" t="s">
        <v>177</v>
      </c>
      <c r="J636">
        <v>10</v>
      </c>
      <c r="K636" s="4">
        <v>623.64</v>
      </c>
      <c r="L636" s="2">
        <v>6236.4</v>
      </c>
      <c r="M636">
        <v>0</v>
      </c>
      <c r="N636" s="4">
        <v>1163.8399999999999</v>
      </c>
      <c r="O636" t="s">
        <v>39</v>
      </c>
      <c r="P636">
        <v>7</v>
      </c>
    </row>
    <row r="637" spans="1:16" x14ac:dyDescent="0.35">
      <c r="A637" t="s">
        <v>1813</v>
      </c>
      <c r="B637" s="10" t="s">
        <v>25</v>
      </c>
      <c r="C637" s="11" t="str">
        <f t="shared" si="9"/>
        <v>October</v>
      </c>
      <c r="D637" t="s">
        <v>912</v>
      </c>
      <c r="E637" t="s">
        <v>1814</v>
      </c>
      <c r="F637" t="s">
        <v>36</v>
      </c>
      <c r="G637" t="s">
        <v>28</v>
      </c>
      <c r="H637" t="s">
        <v>76</v>
      </c>
      <c r="I637" t="s">
        <v>77</v>
      </c>
      <c r="J637">
        <v>5</v>
      </c>
      <c r="K637" s="4">
        <v>427.01</v>
      </c>
      <c r="L637" s="2">
        <v>2135.0500000000002</v>
      </c>
      <c r="M637">
        <v>0.1</v>
      </c>
      <c r="N637" s="4">
        <v>305.51</v>
      </c>
      <c r="O637" t="s">
        <v>23</v>
      </c>
      <c r="P637">
        <v>7</v>
      </c>
    </row>
    <row r="638" spans="1:16" x14ac:dyDescent="0.35">
      <c r="A638" t="s">
        <v>1815</v>
      </c>
      <c r="B638" s="10" t="s">
        <v>1816</v>
      </c>
      <c r="C638" s="11" t="str">
        <f t="shared" si="9"/>
        <v>August</v>
      </c>
      <c r="D638" t="s">
        <v>574</v>
      </c>
      <c r="E638" t="s">
        <v>1817</v>
      </c>
      <c r="F638" t="s">
        <v>19</v>
      </c>
      <c r="G638" t="s">
        <v>20</v>
      </c>
      <c r="H638" t="s">
        <v>76</v>
      </c>
      <c r="I638" t="s">
        <v>87</v>
      </c>
      <c r="J638">
        <v>3</v>
      </c>
      <c r="K638" s="4">
        <v>970.69</v>
      </c>
      <c r="L638" s="2">
        <v>2912.07</v>
      </c>
      <c r="M638">
        <v>0.15</v>
      </c>
      <c r="N638" s="4">
        <v>640</v>
      </c>
      <c r="O638" t="s">
        <v>31</v>
      </c>
      <c r="P638">
        <v>4</v>
      </c>
    </row>
    <row r="639" spans="1:16" x14ac:dyDescent="0.35">
      <c r="A639" t="s">
        <v>1818</v>
      </c>
      <c r="B639" s="10" t="s">
        <v>370</v>
      </c>
      <c r="C639" s="11" t="str">
        <f t="shared" si="9"/>
        <v>October</v>
      </c>
      <c r="D639" t="s">
        <v>413</v>
      </c>
      <c r="E639" t="s">
        <v>1819</v>
      </c>
      <c r="F639" t="s">
        <v>44</v>
      </c>
      <c r="G639" t="s">
        <v>20</v>
      </c>
      <c r="H639" t="s">
        <v>76</v>
      </c>
      <c r="I639" t="s">
        <v>128</v>
      </c>
      <c r="J639">
        <v>9</v>
      </c>
      <c r="K639" s="4">
        <v>1184.23</v>
      </c>
      <c r="L639" s="2">
        <v>10658.07</v>
      </c>
      <c r="M639">
        <v>0</v>
      </c>
      <c r="N639" s="4">
        <v>1883.69</v>
      </c>
      <c r="O639" t="s">
        <v>31</v>
      </c>
      <c r="P639">
        <v>7</v>
      </c>
    </row>
    <row r="640" spans="1:16" x14ac:dyDescent="0.35">
      <c r="A640" t="s">
        <v>1820</v>
      </c>
      <c r="B640" s="10" t="s">
        <v>945</v>
      </c>
      <c r="C640" s="11" t="str">
        <f t="shared" si="9"/>
        <v>March</v>
      </c>
      <c r="D640" t="s">
        <v>859</v>
      </c>
      <c r="E640" t="s">
        <v>1821</v>
      </c>
      <c r="F640" t="s">
        <v>36</v>
      </c>
      <c r="G640" t="s">
        <v>28</v>
      </c>
      <c r="H640" t="s">
        <v>21</v>
      </c>
      <c r="I640" t="s">
        <v>38</v>
      </c>
      <c r="J640">
        <v>7</v>
      </c>
      <c r="K640" s="4">
        <v>226.37</v>
      </c>
      <c r="L640" s="2">
        <v>1584.59</v>
      </c>
      <c r="M640">
        <v>0.15</v>
      </c>
      <c r="N640" s="4">
        <v>358.14</v>
      </c>
      <c r="O640" t="s">
        <v>39</v>
      </c>
      <c r="P640">
        <v>9</v>
      </c>
    </row>
    <row r="641" spans="1:16" x14ac:dyDescent="0.35">
      <c r="A641" t="s">
        <v>1822</v>
      </c>
      <c r="B641" s="10" t="s">
        <v>997</v>
      </c>
      <c r="C641" s="11" t="str">
        <f t="shared" si="9"/>
        <v>August</v>
      </c>
      <c r="D641" t="s">
        <v>184</v>
      </c>
      <c r="E641" t="s">
        <v>1823</v>
      </c>
      <c r="F641" t="s">
        <v>36</v>
      </c>
      <c r="G641" t="s">
        <v>20</v>
      </c>
      <c r="H641" t="s">
        <v>76</v>
      </c>
      <c r="I641" t="s">
        <v>77</v>
      </c>
      <c r="J641">
        <v>5</v>
      </c>
      <c r="K641" s="4">
        <v>1004.81</v>
      </c>
      <c r="L641" s="2">
        <v>5024.05</v>
      </c>
      <c r="M641">
        <v>0.1</v>
      </c>
      <c r="N641" s="4">
        <v>1593.25</v>
      </c>
      <c r="O641" t="s">
        <v>31</v>
      </c>
      <c r="P641">
        <v>5</v>
      </c>
    </row>
    <row r="642" spans="1:16" x14ac:dyDescent="0.35">
      <c r="A642" t="s">
        <v>1824</v>
      </c>
      <c r="B642" s="10" t="s">
        <v>1076</v>
      </c>
      <c r="C642" s="11" t="str">
        <f t="shared" si="9"/>
        <v>September</v>
      </c>
      <c r="D642" t="s">
        <v>318</v>
      </c>
      <c r="E642" t="s">
        <v>1825</v>
      </c>
      <c r="F642" t="s">
        <v>19</v>
      </c>
      <c r="G642" t="s">
        <v>37</v>
      </c>
      <c r="H642" t="s">
        <v>76</v>
      </c>
      <c r="I642" t="s">
        <v>128</v>
      </c>
      <c r="J642">
        <v>2</v>
      </c>
      <c r="K642" s="4">
        <v>791.5</v>
      </c>
      <c r="L642" s="2">
        <v>1583</v>
      </c>
      <c r="M642">
        <v>0.1</v>
      </c>
      <c r="N642" s="4">
        <v>545.86</v>
      </c>
      <c r="O642" t="s">
        <v>31</v>
      </c>
      <c r="P642">
        <v>2</v>
      </c>
    </row>
    <row r="643" spans="1:16" x14ac:dyDescent="0.35">
      <c r="A643" t="s">
        <v>1826</v>
      </c>
      <c r="B643" s="10" t="s">
        <v>1034</v>
      </c>
      <c r="C643" s="11" t="str">
        <f t="shared" ref="C643:C706" si="10">TEXT(B643,"MMMM")</f>
        <v>October</v>
      </c>
      <c r="D643" t="s">
        <v>191</v>
      </c>
      <c r="E643" t="s">
        <v>1827</v>
      </c>
      <c r="F643" t="s">
        <v>44</v>
      </c>
      <c r="G643" t="s">
        <v>28</v>
      </c>
      <c r="H643" t="s">
        <v>76</v>
      </c>
      <c r="I643" t="s">
        <v>128</v>
      </c>
      <c r="J643">
        <v>2</v>
      </c>
      <c r="K643" s="4">
        <v>726.69</v>
      </c>
      <c r="L643" s="2">
        <v>1453.38</v>
      </c>
      <c r="M643">
        <v>0.1</v>
      </c>
      <c r="N643" s="4">
        <v>415.4</v>
      </c>
      <c r="O643" t="s">
        <v>23</v>
      </c>
      <c r="P643">
        <v>2</v>
      </c>
    </row>
    <row r="644" spans="1:16" x14ac:dyDescent="0.35">
      <c r="A644" t="s">
        <v>1828</v>
      </c>
      <c r="B644" s="10" t="s">
        <v>608</v>
      </c>
      <c r="C644" s="11" t="str">
        <f t="shared" si="10"/>
        <v>January</v>
      </c>
      <c r="D644" t="s">
        <v>218</v>
      </c>
      <c r="E644" t="s">
        <v>1829</v>
      </c>
      <c r="F644" t="s">
        <v>44</v>
      </c>
      <c r="G644" t="s">
        <v>28</v>
      </c>
      <c r="H644" t="s">
        <v>76</v>
      </c>
      <c r="I644" t="s">
        <v>177</v>
      </c>
      <c r="J644">
        <v>10</v>
      </c>
      <c r="K644" s="4">
        <v>40.700000000000003</v>
      </c>
      <c r="L644" s="2">
        <v>407</v>
      </c>
      <c r="M644">
        <v>0.1</v>
      </c>
      <c r="N644" s="4">
        <v>177.6</v>
      </c>
      <c r="O644" t="s">
        <v>23</v>
      </c>
      <c r="P644">
        <v>3</v>
      </c>
    </row>
    <row r="645" spans="1:16" x14ac:dyDescent="0.35">
      <c r="A645" t="s">
        <v>1830</v>
      </c>
      <c r="B645" s="10" t="s">
        <v>589</v>
      </c>
      <c r="C645" s="11" t="str">
        <f t="shared" si="10"/>
        <v>July</v>
      </c>
      <c r="D645" t="s">
        <v>489</v>
      </c>
      <c r="E645" t="s">
        <v>1831</v>
      </c>
      <c r="F645" t="s">
        <v>44</v>
      </c>
      <c r="G645" t="s">
        <v>57</v>
      </c>
      <c r="H645" t="s">
        <v>76</v>
      </c>
      <c r="I645" t="s">
        <v>119</v>
      </c>
      <c r="J645">
        <v>1</v>
      </c>
      <c r="K645" s="4">
        <v>341.75</v>
      </c>
      <c r="L645" s="2">
        <v>341.75</v>
      </c>
      <c r="M645">
        <v>0.15</v>
      </c>
      <c r="N645" s="4">
        <v>85.84</v>
      </c>
      <c r="O645" t="s">
        <v>23</v>
      </c>
      <c r="P645">
        <v>2</v>
      </c>
    </row>
    <row r="646" spans="1:16" x14ac:dyDescent="0.35">
      <c r="A646" t="s">
        <v>1832</v>
      </c>
      <c r="B646" s="10" t="s">
        <v>1256</v>
      </c>
      <c r="C646" s="11" t="str">
        <f t="shared" si="10"/>
        <v>October</v>
      </c>
      <c r="D646" t="s">
        <v>712</v>
      </c>
      <c r="E646" t="s">
        <v>1833</v>
      </c>
      <c r="F646" t="s">
        <v>44</v>
      </c>
      <c r="G646" t="s">
        <v>57</v>
      </c>
      <c r="H646" t="s">
        <v>21</v>
      </c>
      <c r="I646" t="s">
        <v>105</v>
      </c>
      <c r="J646">
        <v>3</v>
      </c>
      <c r="K646" s="4">
        <v>922.33</v>
      </c>
      <c r="L646" s="2">
        <v>2766.99</v>
      </c>
      <c r="M646">
        <v>0.2</v>
      </c>
      <c r="N646" s="4">
        <v>551.07000000000005</v>
      </c>
      <c r="O646" t="s">
        <v>39</v>
      </c>
      <c r="P646">
        <v>6</v>
      </c>
    </row>
    <row r="647" spans="1:16" x14ac:dyDescent="0.35">
      <c r="A647" t="s">
        <v>1834</v>
      </c>
      <c r="B647" s="10" t="s">
        <v>1352</v>
      </c>
      <c r="C647" s="11" t="str">
        <f t="shared" si="10"/>
        <v>September</v>
      </c>
      <c r="D647" t="s">
        <v>210</v>
      </c>
      <c r="E647" t="s">
        <v>1835</v>
      </c>
      <c r="F647" t="s">
        <v>44</v>
      </c>
      <c r="G647" t="s">
        <v>28</v>
      </c>
      <c r="H647" t="s">
        <v>29</v>
      </c>
      <c r="I647" t="s">
        <v>100</v>
      </c>
      <c r="J647">
        <v>10</v>
      </c>
      <c r="K647" s="4">
        <v>434.92</v>
      </c>
      <c r="L647" s="2">
        <v>4349.2</v>
      </c>
      <c r="M647">
        <v>0.05</v>
      </c>
      <c r="N647" s="4">
        <v>2251.14</v>
      </c>
      <c r="O647" t="s">
        <v>39</v>
      </c>
      <c r="P647">
        <v>6</v>
      </c>
    </row>
    <row r="648" spans="1:16" x14ac:dyDescent="0.35">
      <c r="A648" t="s">
        <v>1836</v>
      </c>
      <c r="B648" s="10" t="s">
        <v>785</v>
      </c>
      <c r="C648" s="11" t="str">
        <f t="shared" si="10"/>
        <v>October</v>
      </c>
      <c r="D648" t="s">
        <v>479</v>
      </c>
      <c r="E648" t="s">
        <v>1837</v>
      </c>
      <c r="F648" t="s">
        <v>19</v>
      </c>
      <c r="G648" t="s">
        <v>20</v>
      </c>
      <c r="H648" t="s">
        <v>29</v>
      </c>
      <c r="I648" t="s">
        <v>30</v>
      </c>
      <c r="J648">
        <v>4</v>
      </c>
      <c r="K648" s="4">
        <v>202.37</v>
      </c>
      <c r="L648" s="2">
        <v>809.48</v>
      </c>
      <c r="M648">
        <v>0.05</v>
      </c>
      <c r="N648" s="4">
        <v>167.16</v>
      </c>
      <c r="O648" t="s">
        <v>39</v>
      </c>
      <c r="P648">
        <v>8</v>
      </c>
    </row>
    <row r="649" spans="1:16" x14ac:dyDescent="0.35">
      <c r="A649" t="s">
        <v>1838</v>
      </c>
      <c r="B649" s="10" t="s">
        <v>166</v>
      </c>
      <c r="C649" s="11" t="str">
        <f t="shared" si="10"/>
        <v>December</v>
      </c>
      <c r="D649" t="s">
        <v>870</v>
      </c>
      <c r="E649" t="s">
        <v>1839</v>
      </c>
      <c r="F649" t="s">
        <v>36</v>
      </c>
      <c r="G649" t="s">
        <v>28</v>
      </c>
      <c r="H649" t="s">
        <v>29</v>
      </c>
      <c r="I649" t="s">
        <v>30</v>
      </c>
      <c r="J649">
        <v>3</v>
      </c>
      <c r="K649" s="4">
        <v>1109.6199999999999</v>
      </c>
      <c r="L649" s="2">
        <v>3328.86</v>
      </c>
      <c r="M649">
        <v>0.15</v>
      </c>
      <c r="N649" s="4">
        <v>1162.1300000000001</v>
      </c>
      <c r="O649" t="s">
        <v>23</v>
      </c>
      <c r="P649">
        <v>9</v>
      </c>
    </row>
    <row r="650" spans="1:16" x14ac:dyDescent="0.35">
      <c r="A650" t="s">
        <v>1840</v>
      </c>
      <c r="B650" s="10" t="s">
        <v>1508</v>
      </c>
      <c r="C650" s="11" t="str">
        <f t="shared" si="10"/>
        <v>December</v>
      </c>
      <c r="D650" t="s">
        <v>1841</v>
      </c>
      <c r="E650" t="s">
        <v>1842</v>
      </c>
      <c r="F650" t="s">
        <v>19</v>
      </c>
      <c r="G650" t="s">
        <v>37</v>
      </c>
      <c r="H650" t="s">
        <v>76</v>
      </c>
      <c r="I650" t="s">
        <v>119</v>
      </c>
      <c r="J650">
        <v>5</v>
      </c>
      <c r="K650" s="4">
        <v>53.94</v>
      </c>
      <c r="L650" s="2">
        <v>269.7</v>
      </c>
      <c r="M650">
        <v>0</v>
      </c>
      <c r="N650" s="4">
        <v>124.35</v>
      </c>
      <c r="O650" t="s">
        <v>39</v>
      </c>
      <c r="P650">
        <v>3</v>
      </c>
    </row>
    <row r="651" spans="1:16" x14ac:dyDescent="0.35">
      <c r="A651" t="s">
        <v>1843</v>
      </c>
      <c r="B651" s="10" t="s">
        <v>1844</v>
      </c>
      <c r="C651" s="11" t="str">
        <f t="shared" si="10"/>
        <v>September</v>
      </c>
      <c r="D651" t="s">
        <v>413</v>
      </c>
      <c r="E651" t="s">
        <v>1845</v>
      </c>
      <c r="F651" t="s">
        <v>44</v>
      </c>
      <c r="G651" t="s">
        <v>20</v>
      </c>
      <c r="H651" t="s">
        <v>29</v>
      </c>
      <c r="I651" t="s">
        <v>224</v>
      </c>
      <c r="J651">
        <v>2</v>
      </c>
      <c r="K651" s="4">
        <v>521.27</v>
      </c>
      <c r="L651" s="2">
        <v>1042.54</v>
      </c>
      <c r="M651">
        <v>0</v>
      </c>
      <c r="N651" s="4">
        <v>540.98</v>
      </c>
      <c r="O651" t="s">
        <v>31</v>
      </c>
      <c r="P651">
        <v>2</v>
      </c>
    </row>
    <row r="652" spans="1:16" x14ac:dyDescent="0.35">
      <c r="A652" t="s">
        <v>1846</v>
      </c>
      <c r="B652" s="10" t="s">
        <v>1342</v>
      </c>
      <c r="C652" s="11" t="str">
        <f t="shared" si="10"/>
        <v>May</v>
      </c>
      <c r="D652" t="s">
        <v>367</v>
      </c>
      <c r="E652" t="s">
        <v>1847</v>
      </c>
      <c r="F652" t="s">
        <v>36</v>
      </c>
      <c r="G652" t="s">
        <v>57</v>
      </c>
      <c r="H652" t="s">
        <v>29</v>
      </c>
      <c r="I652" t="s">
        <v>62</v>
      </c>
      <c r="J652">
        <v>9</v>
      </c>
      <c r="K652" s="4">
        <v>719.95</v>
      </c>
      <c r="L652" s="2">
        <v>6479.55</v>
      </c>
      <c r="M652">
        <v>0.15</v>
      </c>
      <c r="N652" s="4">
        <v>2767.2</v>
      </c>
      <c r="O652" t="s">
        <v>23</v>
      </c>
      <c r="P652">
        <v>1</v>
      </c>
    </row>
    <row r="653" spans="1:16" x14ac:dyDescent="0.35">
      <c r="A653" t="s">
        <v>1848</v>
      </c>
      <c r="B653" s="10" t="s">
        <v>256</v>
      </c>
      <c r="C653" s="11" t="str">
        <f t="shared" si="10"/>
        <v>June</v>
      </c>
      <c r="D653" t="s">
        <v>1018</v>
      </c>
      <c r="E653" t="s">
        <v>1849</v>
      </c>
      <c r="F653" t="s">
        <v>36</v>
      </c>
      <c r="G653" t="s">
        <v>37</v>
      </c>
      <c r="H653" t="s">
        <v>29</v>
      </c>
      <c r="I653" t="s">
        <v>30</v>
      </c>
      <c r="J653">
        <v>10</v>
      </c>
      <c r="K653" s="4">
        <v>262.37</v>
      </c>
      <c r="L653" s="2">
        <v>2623.7</v>
      </c>
      <c r="M653">
        <v>0.05</v>
      </c>
      <c r="N653" s="4">
        <v>1186.6500000000001</v>
      </c>
      <c r="O653" t="s">
        <v>23</v>
      </c>
      <c r="P653">
        <v>5</v>
      </c>
    </row>
    <row r="654" spans="1:16" x14ac:dyDescent="0.35">
      <c r="A654" t="s">
        <v>1850</v>
      </c>
      <c r="B654" s="10" t="s">
        <v>1426</v>
      </c>
      <c r="C654" s="11" t="str">
        <f t="shared" si="10"/>
        <v>November</v>
      </c>
      <c r="D654" t="s">
        <v>146</v>
      </c>
      <c r="E654" t="s">
        <v>1851</v>
      </c>
      <c r="F654" t="s">
        <v>19</v>
      </c>
      <c r="G654" t="s">
        <v>20</v>
      </c>
      <c r="H654" t="s">
        <v>21</v>
      </c>
      <c r="I654" t="s">
        <v>38</v>
      </c>
      <c r="J654">
        <v>6</v>
      </c>
      <c r="K654" s="4">
        <v>209.46</v>
      </c>
      <c r="L654" s="2">
        <v>1256.76</v>
      </c>
      <c r="M654">
        <v>0.2</v>
      </c>
      <c r="N654" s="4">
        <v>238.96</v>
      </c>
      <c r="O654" t="s">
        <v>31</v>
      </c>
      <c r="P654">
        <v>10</v>
      </c>
    </row>
    <row r="655" spans="1:16" x14ac:dyDescent="0.35">
      <c r="A655" t="s">
        <v>1852</v>
      </c>
      <c r="B655" s="10" t="s">
        <v>194</v>
      </c>
      <c r="C655" s="11" t="str">
        <f t="shared" si="10"/>
        <v>October</v>
      </c>
      <c r="D655" t="s">
        <v>482</v>
      </c>
      <c r="E655" t="s">
        <v>1853</v>
      </c>
      <c r="F655" t="s">
        <v>19</v>
      </c>
      <c r="G655" t="s">
        <v>20</v>
      </c>
      <c r="H655" t="s">
        <v>29</v>
      </c>
      <c r="I655" t="s">
        <v>100</v>
      </c>
      <c r="J655">
        <v>4</v>
      </c>
      <c r="K655" s="4">
        <v>864.66</v>
      </c>
      <c r="L655" s="2">
        <v>3458.64</v>
      </c>
      <c r="M655">
        <v>0.1</v>
      </c>
      <c r="N655" s="4">
        <v>1498.15</v>
      </c>
      <c r="O655" t="s">
        <v>31</v>
      </c>
      <c r="P655">
        <v>9</v>
      </c>
    </row>
    <row r="656" spans="1:16" x14ac:dyDescent="0.35">
      <c r="A656" t="s">
        <v>1854</v>
      </c>
      <c r="B656" s="10" t="s">
        <v>1855</v>
      </c>
      <c r="C656" s="11" t="str">
        <f t="shared" si="10"/>
        <v>February</v>
      </c>
      <c r="D656" t="s">
        <v>1138</v>
      </c>
      <c r="E656" t="s">
        <v>1856</v>
      </c>
      <c r="F656" t="s">
        <v>44</v>
      </c>
      <c r="G656" t="s">
        <v>28</v>
      </c>
      <c r="H656" t="s">
        <v>21</v>
      </c>
      <c r="I656" t="s">
        <v>82</v>
      </c>
      <c r="J656">
        <v>6</v>
      </c>
      <c r="K656" s="4">
        <v>843.8</v>
      </c>
      <c r="L656" s="2">
        <v>5062.8</v>
      </c>
      <c r="M656">
        <v>0.05</v>
      </c>
      <c r="N656" s="4">
        <v>1799.46</v>
      </c>
      <c r="O656" t="s">
        <v>39</v>
      </c>
      <c r="P656">
        <v>4</v>
      </c>
    </row>
    <row r="657" spans="1:16" x14ac:dyDescent="0.35">
      <c r="A657" t="s">
        <v>1857</v>
      </c>
      <c r="B657" s="10" t="s">
        <v>1050</v>
      </c>
      <c r="C657" s="11" t="str">
        <f t="shared" si="10"/>
        <v>February</v>
      </c>
      <c r="D657" t="s">
        <v>451</v>
      </c>
      <c r="E657" t="s">
        <v>1858</v>
      </c>
      <c r="F657" t="s">
        <v>36</v>
      </c>
      <c r="G657" t="s">
        <v>28</v>
      </c>
      <c r="H657" t="s">
        <v>21</v>
      </c>
      <c r="I657" t="s">
        <v>105</v>
      </c>
      <c r="J657">
        <v>7</v>
      </c>
      <c r="K657" s="4">
        <v>153.16</v>
      </c>
      <c r="L657" s="2">
        <v>1072.1199999999999</v>
      </c>
      <c r="M657">
        <v>0.1</v>
      </c>
      <c r="N657" s="4">
        <v>482.99</v>
      </c>
      <c r="O657" t="s">
        <v>39</v>
      </c>
      <c r="P657">
        <v>5</v>
      </c>
    </row>
    <row r="658" spans="1:16" x14ac:dyDescent="0.35">
      <c r="A658" t="s">
        <v>1859</v>
      </c>
      <c r="B658" s="10" t="s">
        <v>394</v>
      </c>
      <c r="C658" s="11" t="str">
        <f t="shared" si="10"/>
        <v>August</v>
      </c>
      <c r="D658" t="s">
        <v>497</v>
      </c>
      <c r="E658" t="s">
        <v>1860</v>
      </c>
      <c r="F658" t="s">
        <v>19</v>
      </c>
      <c r="G658" t="s">
        <v>57</v>
      </c>
      <c r="H658" t="s">
        <v>21</v>
      </c>
      <c r="I658" t="s">
        <v>22</v>
      </c>
      <c r="J658">
        <v>2</v>
      </c>
      <c r="K658" s="4">
        <v>407.18</v>
      </c>
      <c r="L658" s="2">
        <v>814.36</v>
      </c>
      <c r="M658">
        <v>0</v>
      </c>
      <c r="N658" s="4">
        <v>322.56</v>
      </c>
      <c r="O658" t="s">
        <v>23</v>
      </c>
      <c r="P658">
        <v>8</v>
      </c>
    </row>
    <row r="659" spans="1:16" x14ac:dyDescent="0.35">
      <c r="A659" t="s">
        <v>1861</v>
      </c>
      <c r="B659" s="10" t="s">
        <v>1862</v>
      </c>
      <c r="C659" s="11" t="str">
        <f t="shared" si="10"/>
        <v>February</v>
      </c>
      <c r="D659" t="s">
        <v>214</v>
      </c>
      <c r="E659" t="s">
        <v>1863</v>
      </c>
      <c r="F659" t="s">
        <v>19</v>
      </c>
      <c r="G659" t="s">
        <v>57</v>
      </c>
      <c r="H659" t="s">
        <v>29</v>
      </c>
      <c r="I659" t="s">
        <v>100</v>
      </c>
      <c r="J659">
        <v>7</v>
      </c>
      <c r="K659" s="4">
        <v>362.9</v>
      </c>
      <c r="L659" s="2">
        <v>2540.3000000000002</v>
      </c>
      <c r="M659">
        <v>0.15</v>
      </c>
      <c r="N659" s="4">
        <v>1024.54</v>
      </c>
      <c r="O659" t="s">
        <v>31</v>
      </c>
      <c r="P659">
        <v>1</v>
      </c>
    </row>
    <row r="660" spans="1:16" x14ac:dyDescent="0.35">
      <c r="A660" t="s">
        <v>1864</v>
      </c>
      <c r="B660" s="10" t="s">
        <v>209</v>
      </c>
      <c r="C660" s="11" t="str">
        <f t="shared" si="10"/>
        <v>February</v>
      </c>
      <c r="D660" t="s">
        <v>1865</v>
      </c>
      <c r="E660" t="s">
        <v>1866</v>
      </c>
      <c r="F660" t="s">
        <v>36</v>
      </c>
      <c r="G660" t="s">
        <v>28</v>
      </c>
      <c r="H660" t="s">
        <v>21</v>
      </c>
      <c r="I660" t="s">
        <v>82</v>
      </c>
      <c r="J660">
        <v>2</v>
      </c>
      <c r="K660" s="4">
        <v>487.72</v>
      </c>
      <c r="L660" s="2">
        <v>975.44</v>
      </c>
      <c r="M660">
        <v>0.2</v>
      </c>
      <c r="N660" s="4">
        <v>223.63</v>
      </c>
      <c r="O660" t="s">
        <v>39</v>
      </c>
      <c r="P660">
        <v>10</v>
      </c>
    </row>
    <row r="661" spans="1:16" x14ac:dyDescent="0.35">
      <c r="A661" t="s">
        <v>1867</v>
      </c>
      <c r="B661" s="10" t="s">
        <v>141</v>
      </c>
      <c r="C661" s="11" t="str">
        <f t="shared" si="10"/>
        <v>November</v>
      </c>
      <c r="D661" t="s">
        <v>1204</v>
      </c>
      <c r="E661" t="s">
        <v>1868</v>
      </c>
      <c r="F661" t="s">
        <v>36</v>
      </c>
      <c r="G661" t="s">
        <v>37</v>
      </c>
      <c r="H661" t="s">
        <v>29</v>
      </c>
      <c r="I661" t="s">
        <v>62</v>
      </c>
      <c r="J661">
        <v>3</v>
      </c>
      <c r="K661" s="4">
        <v>96.36</v>
      </c>
      <c r="L661" s="2">
        <v>289.08</v>
      </c>
      <c r="M661">
        <v>0.05</v>
      </c>
      <c r="N661" s="4">
        <v>113.85</v>
      </c>
      <c r="O661" t="s">
        <v>39</v>
      </c>
      <c r="P661">
        <v>8</v>
      </c>
    </row>
    <row r="662" spans="1:16" x14ac:dyDescent="0.35">
      <c r="A662" t="s">
        <v>1869</v>
      </c>
      <c r="B662" s="10" t="s">
        <v>589</v>
      </c>
      <c r="C662" s="11" t="str">
        <f t="shared" si="10"/>
        <v>July</v>
      </c>
      <c r="D662" t="s">
        <v>214</v>
      </c>
      <c r="E662" t="s">
        <v>1870</v>
      </c>
      <c r="F662" t="s">
        <v>19</v>
      </c>
      <c r="G662" t="s">
        <v>28</v>
      </c>
      <c r="H662" t="s">
        <v>76</v>
      </c>
      <c r="I662" t="s">
        <v>177</v>
      </c>
      <c r="J662">
        <v>10</v>
      </c>
      <c r="K662" s="4">
        <v>342.11</v>
      </c>
      <c r="L662" s="2">
        <v>3421.1</v>
      </c>
      <c r="M662">
        <v>0.3</v>
      </c>
      <c r="N662" s="4">
        <v>413.6</v>
      </c>
      <c r="O662" t="s">
        <v>39</v>
      </c>
      <c r="P662">
        <v>9</v>
      </c>
    </row>
    <row r="663" spans="1:16" x14ac:dyDescent="0.35">
      <c r="A663" t="s">
        <v>1871</v>
      </c>
      <c r="B663" s="10" t="s">
        <v>1872</v>
      </c>
      <c r="C663" s="11" t="str">
        <f t="shared" si="10"/>
        <v>April</v>
      </c>
      <c r="D663" t="s">
        <v>378</v>
      </c>
      <c r="E663" t="s">
        <v>1873</v>
      </c>
      <c r="F663" t="s">
        <v>36</v>
      </c>
      <c r="G663" t="s">
        <v>20</v>
      </c>
      <c r="H663" t="s">
        <v>76</v>
      </c>
      <c r="I663" t="s">
        <v>119</v>
      </c>
      <c r="J663">
        <v>8</v>
      </c>
      <c r="K663" s="4">
        <v>147.47999999999999</v>
      </c>
      <c r="L663" s="2">
        <v>1179.8399999999999</v>
      </c>
      <c r="M663">
        <v>0.1</v>
      </c>
      <c r="N663" s="4">
        <v>376.18</v>
      </c>
      <c r="O663" t="s">
        <v>31</v>
      </c>
      <c r="P663">
        <v>1</v>
      </c>
    </row>
    <row r="664" spans="1:16" x14ac:dyDescent="0.35">
      <c r="A664" t="s">
        <v>1874</v>
      </c>
      <c r="B664" s="10" t="s">
        <v>1875</v>
      </c>
      <c r="C664" s="11" t="str">
        <f t="shared" si="10"/>
        <v>June</v>
      </c>
      <c r="D664" t="s">
        <v>839</v>
      </c>
      <c r="E664" t="s">
        <v>1876</v>
      </c>
      <c r="F664" t="s">
        <v>44</v>
      </c>
      <c r="G664" t="s">
        <v>20</v>
      </c>
      <c r="H664" t="s">
        <v>29</v>
      </c>
      <c r="I664" t="s">
        <v>45</v>
      </c>
      <c r="J664">
        <v>1</v>
      </c>
      <c r="K664" s="4">
        <v>1167.05</v>
      </c>
      <c r="L664" s="2">
        <v>1167.05</v>
      </c>
      <c r="M664">
        <v>0.15</v>
      </c>
      <c r="N664" s="4">
        <v>305.7</v>
      </c>
      <c r="O664" t="s">
        <v>31</v>
      </c>
      <c r="P664">
        <v>9</v>
      </c>
    </row>
    <row r="665" spans="1:16" x14ac:dyDescent="0.35">
      <c r="A665" t="s">
        <v>1877</v>
      </c>
      <c r="B665" s="10" t="s">
        <v>1878</v>
      </c>
      <c r="C665" s="11" t="str">
        <f t="shared" si="10"/>
        <v>May</v>
      </c>
      <c r="D665" t="s">
        <v>113</v>
      </c>
      <c r="E665" t="s">
        <v>1879</v>
      </c>
      <c r="F665" t="s">
        <v>44</v>
      </c>
      <c r="G665" t="s">
        <v>20</v>
      </c>
      <c r="H665" t="s">
        <v>76</v>
      </c>
      <c r="I665" t="s">
        <v>128</v>
      </c>
      <c r="J665">
        <v>4</v>
      </c>
      <c r="K665" s="4">
        <v>366.4</v>
      </c>
      <c r="L665" s="2">
        <v>1465.6</v>
      </c>
      <c r="M665">
        <v>0.15</v>
      </c>
      <c r="N665" s="4">
        <v>440.87</v>
      </c>
      <c r="O665" t="s">
        <v>31</v>
      </c>
      <c r="P665">
        <v>7</v>
      </c>
    </row>
    <row r="666" spans="1:16" x14ac:dyDescent="0.35">
      <c r="A666" t="s">
        <v>1880</v>
      </c>
      <c r="B666" s="10" t="s">
        <v>869</v>
      </c>
      <c r="C666" s="11" t="str">
        <f t="shared" si="10"/>
        <v>January</v>
      </c>
      <c r="D666" t="s">
        <v>611</v>
      </c>
      <c r="E666" t="s">
        <v>1881</v>
      </c>
      <c r="F666" t="s">
        <v>36</v>
      </c>
      <c r="G666" t="s">
        <v>57</v>
      </c>
      <c r="H666" t="s">
        <v>29</v>
      </c>
      <c r="I666" t="s">
        <v>45</v>
      </c>
      <c r="J666">
        <v>8</v>
      </c>
      <c r="K666" s="4">
        <v>391.18</v>
      </c>
      <c r="L666" s="2">
        <v>3129.44</v>
      </c>
      <c r="M666">
        <v>0.15</v>
      </c>
      <c r="N666" s="4">
        <v>992.13</v>
      </c>
      <c r="O666" t="s">
        <v>23</v>
      </c>
      <c r="P666">
        <v>3</v>
      </c>
    </row>
    <row r="667" spans="1:16" x14ac:dyDescent="0.35">
      <c r="A667" t="s">
        <v>1882</v>
      </c>
      <c r="B667" s="10" t="s">
        <v>1050</v>
      </c>
      <c r="C667" s="11" t="str">
        <f t="shared" si="10"/>
        <v>February</v>
      </c>
      <c r="D667" t="s">
        <v>94</v>
      </c>
      <c r="E667" t="s">
        <v>1883</v>
      </c>
      <c r="F667" t="s">
        <v>19</v>
      </c>
      <c r="G667" t="s">
        <v>28</v>
      </c>
      <c r="H667" t="s">
        <v>76</v>
      </c>
      <c r="I667" t="s">
        <v>128</v>
      </c>
      <c r="J667">
        <v>3</v>
      </c>
      <c r="K667" s="4">
        <v>388.7</v>
      </c>
      <c r="L667" s="2">
        <v>1166.0999999999999</v>
      </c>
      <c r="M667">
        <v>0.15</v>
      </c>
      <c r="N667" s="4">
        <v>351.89</v>
      </c>
      <c r="O667" t="s">
        <v>23</v>
      </c>
      <c r="P667">
        <v>9</v>
      </c>
    </row>
    <row r="668" spans="1:16" x14ac:dyDescent="0.35">
      <c r="A668" t="s">
        <v>1884</v>
      </c>
      <c r="B668" s="10" t="s">
        <v>359</v>
      </c>
      <c r="C668" s="11" t="str">
        <f t="shared" si="10"/>
        <v>September</v>
      </c>
      <c r="D668" t="s">
        <v>976</v>
      </c>
      <c r="E668" t="s">
        <v>1885</v>
      </c>
      <c r="F668" t="s">
        <v>44</v>
      </c>
      <c r="G668" t="s">
        <v>57</v>
      </c>
      <c r="H668" t="s">
        <v>21</v>
      </c>
      <c r="I668" t="s">
        <v>71</v>
      </c>
      <c r="J668">
        <v>10</v>
      </c>
      <c r="K668" s="4">
        <v>574.39</v>
      </c>
      <c r="L668" s="2">
        <v>5743.9</v>
      </c>
      <c r="M668">
        <v>0.2</v>
      </c>
      <c r="N668" s="4">
        <v>956.98</v>
      </c>
      <c r="O668" t="s">
        <v>39</v>
      </c>
      <c r="P668">
        <v>10</v>
      </c>
    </row>
    <row r="669" spans="1:16" x14ac:dyDescent="0.35">
      <c r="A669" t="s">
        <v>1886</v>
      </c>
      <c r="B669" s="10" t="s">
        <v>1887</v>
      </c>
      <c r="C669" s="11" t="str">
        <f t="shared" si="10"/>
        <v>January</v>
      </c>
      <c r="D669" t="s">
        <v>678</v>
      </c>
      <c r="E669" t="s">
        <v>1888</v>
      </c>
      <c r="F669" t="s">
        <v>36</v>
      </c>
      <c r="G669" t="s">
        <v>37</v>
      </c>
      <c r="H669" t="s">
        <v>76</v>
      </c>
      <c r="I669" t="s">
        <v>177</v>
      </c>
      <c r="J669">
        <v>6</v>
      </c>
      <c r="K669" s="4">
        <v>924.44</v>
      </c>
      <c r="L669" s="2">
        <v>5546.64</v>
      </c>
      <c r="M669">
        <v>0.1</v>
      </c>
      <c r="N669" s="4">
        <v>2105.65</v>
      </c>
      <c r="O669" t="s">
        <v>39</v>
      </c>
      <c r="P669">
        <v>6</v>
      </c>
    </row>
    <row r="670" spans="1:16" x14ac:dyDescent="0.35">
      <c r="A670" t="s">
        <v>1889</v>
      </c>
      <c r="B670" s="10" t="s">
        <v>467</v>
      </c>
      <c r="C670" s="11" t="str">
        <f t="shared" si="10"/>
        <v>February</v>
      </c>
      <c r="D670" t="s">
        <v>227</v>
      </c>
      <c r="E670" t="s">
        <v>1890</v>
      </c>
      <c r="F670" t="s">
        <v>44</v>
      </c>
      <c r="G670" t="s">
        <v>57</v>
      </c>
      <c r="H670" t="s">
        <v>21</v>
      </c>
      <c r="I670" t="s">
        <v>71</v>
      </c>
      <c r="J670">
        <v>1</v>
      </c>
      <c r="K670" s="4">
        <v>922.93</v>
      </c>
      <c r="L670" s="2">
        <v>922.93</v>
      </c>
      <c r="M670">
        <v>0.3</v>
      </c>
      <c r="N670" s="4">
        <v>267.14</v>
      </c>
      <c r="O670" t="s">
        <v>39</v>
      </c>
      <c r="P670">
        <v>6</v>
      </c>
    </row>
    <row r="671" spans="1:16" x14ac:dyDescent="0.35">
      <c r="A671" t="s">
        <v>1891</v>
      </c>
      <c r="B671" s="10" t="s">
        <v>209</v>
      </c>
      <c r="C671" s="11" t="str">
        <f t="shared" si="10"/>
        <v>February</v>
      </c>
      <c r="D671" t="s">
        <v>318</v>
      </c>
      <c r="E671" t="s">
        <v>1892</v>
      </c>
      <c r="F671" t="s">
        <v>36</v>
      </c>
      <c r="G671" t="s">
        <v>57</v>
      </c>
      <c r="H671" t="s">
        <v>29</v>
      </c>
      <c r="I671" t="s">
        <v>62</v>
      </c>
      <c r="J671">
        <v>4</v>
      </c>
      <c r="K671" s="4">
        <v>312.18</v>
      </c>
      <c r="L671" s="2">
        <v>1248.72</v>
      </c>
      <c r="M671">
        <v>0.3</v>
      </c>
      <c r="N671" s="4">
        <v>371.63</v>
      </c>
      <c r="O671" t="s">
        <v>31</v>
      </c>
      <c r="P671">
        <v>6</v>
      </c>
    </row>
    <row r="672" spans="1:16" x14ac:dyDescent="0.35">
      <c r="A672" t="s">
        <v>1893</v>
      </c>
      <c r="B672" s="10" t="s">
        <v>749</v>
      </c>
      <c r="C672" s="11" t="str">
        <f t="shared" si="10"/>
        <v>August</v>
      </c>
      <c r="D672" t="s">
        <v>94</v>
      </c>
      <c r="E672" t="s">
        <v>1894</v>
      </c>
      <c r="F672" t="s">
        <v>19</v>
      </c>
      <c r="G672" t="s">
        <v>28</v>
      </c>
      <c r="H672" t="s">
        <v>29</v>
      </c>
      <c r="I672" t="s">
        <v>30</v>
      </c>
      <c r="J672">
        <v>9</v>
      </c>
      <c r="K672" s="4">
        <v>404.82</v>
      </c>
      <c r="L672" s="2">
        <v>3643.38</v>
      </c>
      <c r="M672">
        <v>0.15</v>
      </c>
      <c r="N672" s="4">
        <v>888.47</v>
      </c>
      <c r="O672" t="s">
        <v>39</v>
      </c>
      <c r="P672">
        <v>1</v>
      </c>
    </row>
    <row r="673" spans="1:16" x14ac:dyDescent="0.35">
      <c r="A673" t="s">
        <v>1895</v>
      </c>
      <c r="B673" s="10" t="s">
        <v>244</v>
      </c>
      <c r="C673" s="11" t="str">
        <f t="shared" si="10"/>
        <v>July</v>
      </c>
      <c r="D673" t="s">
        <v>712</v>
      </c>
      <c r="E673" t="s">
        <v>1896</v>
      </c>
      <c r="F673" t="s">
        <v>19</v>
      </c>
      <c r="G673" t="s">
        <v>20</v>
      </c>
      <c r="H673" t="s">
        <v>21</v>
      </c>
      <c r="I673" t="s">
        <v>82</v>
      </c>
      <c r="J673">
        <v>10</v>
      </c>
      <c r="K673" s="4">
        <v>46.24</v>
      </c>
      <c r="L673" s="2">
        <v>462.4</v>
      </c>
      <c r="M673">
        <v>0.1</v>
      </c>
      <c r="N673" s="4">
        <v>166.01</v>
      </c>
      <c r="O673" t="s">
        <v>39</v>
      </c>
      <c r="P673">
        <v>2</v>
      </c>
    </row>
    <row r="674" spans="1:16" x14ac:dyDescent="0.35">
      <c r="A674" t="s">
        <v>1897</v>
      </c>
      <c r="B674" s="10" t="s">
        <v>1047</v>
      </c>
      <c r="C674" s="11" t="str">
        <f t="shared" si="10"/>
        <v>November</v>
      </c>
      <c r="D674" t="s">
        <v>759</v>
      </c>
      <c r="E674" t="s">
        <v>1898</v>
      </c>
      <c r="F674" t="s">
        <v>44</v>
      </c>
      <c r="G674" t="s">
        <v>28</v>
      </c>
      <c r="H674" t="s">
        <v>21</v>
      </c>
      <c r="I674" t="s">
        <v>105</v>
      </c>
      <c r="J674">
        <v>6</v>
      </c>
      <c r="K674" s="4">
        <v>606.14</v>
      </c>
      <c r="L674" s="2">
        <v>3636.84</v>
      </c>
      <c r="M674">
        <v>0.3</v>
      </c>
      <c r="N674" s="4">
        <v>1054.43</v>
      </c>
      <c r="O674" t="s">
        <v>31</v>
      </c>
      <c r="P674">
        <v>8</v>
      </c>
    </row>
    <row r="675" spans="1:16" x14ac:dyDescent="0.35">
      <c r="A675" t="s">
        <v>1899</v>
      </c>
      <c r="B675" s="10" t="s">
        <v>1025</v>
      </c>
      <c r="C675" s="11" t="str">
        <f t="shared" si="10"/>
        <v>October</v>
      </c>
      <c r="D675" t="s">
        <v>69</v>
      </c>
      <c r="E675" t="s">
        <v>1900</v>
      </c>
      <c r="F675" t="s">
        <v>36</v>
      </c>
      <c r="G675" t="s">
        <v>20</v>
      </c>
      <c r="H675" t="s">
        <v>21</v>
      </c>
      <c r="I675" t="s">
        <v>22</v>
      </c>
      <c r="J675">
        <v>9</v>
      </c>
      <c r="K675" s="4">
        <v>272.61</v>
      </c>
      <c r="L675" s="2">
        <v>2453.4899999999998</v>
      </c>
      <c r="M675">
        <v>0.1</v>
      </c>
      <c r="N675" s="4">
        <v>1172.5</v>
      </c>
      <c r="O675" t="s">
        <v>23</v>
      </c>
      <c r="P675">
        <v>10</v>
      </c>
    </row>
    <row r="676" spans="1:16" x14ac:dyDescent="0.35">
      <c r="A676" t="s">
        <v>1901</v>
      </c>
      <c r="B676" s="10" t="s">
        <v>825</v>
      </c>
      <c r="C676" s="11" t="str">
        <f t="shared" si="10"/>
        <v>September</v>
      </c>
      <c r="D676" t="s">
        <v>227</v>
      </c>
      <c r="E676" t="s">
        <v>1902</v>
      </c>
      <c r="F676" t="s">
        <v>36</v>
      </c>
      <c r="G676" t="s">
        <v>57</v>
      </c>
      <c r="H676" t="s">
        <v>29</v>
      </c>
      <c r="I676" t="s">
        <v>100</v>
      </c>
      <c r="J676">
        <v>6</v>
      </c>
      <c r="K676" s="4">
        <v>342.57</v>
      </c>
      <c r="L676" s="2">
        <v>2055.42</v>
      </c>
      <c r="M676">
        <v>0.2</v>
      </c>
      <c r="N676" s="4">
        <v>377.42</v>
      </c>
      <c r="O676" t="s">
        <v>31</v>
      </c>
      <c r="P676">
        <v>5</v>
      </c>
    </row>
    <row r="677" spans="1:16" x14ac:dyDescent="0.35">
      <c r="A677" t="s">
        <v>1903</v>
      </c>
      <c r="B677" s="10" t="s">
        <v>1349</v>
      </c>
      <c r="C677" s="11" t="str">
        <f t="shared" si="10"/>
        <v>July</v>
      </c>
      <c r="D677" t="s">
        <v>1904</v>
      </c>
      <c r="E677" t="s">
        <v>1089</v>
      </c>
      <c r="F677" t="s">
        <v>19</v>
      </c>
      <c r="G677" t="s">
        <v>28</v>
      </c>
      <c r="H677" t="s">
        <v>21</v>
      </c>
      <c r="I677" t="s">
        <v>38</v>
      </c>
      <c r="J677">
        <v>7</v>
      </c>
      <c r="K677" s="4">
        <v>802.88</v>
      </c>
      <c r="L677" s="2">
        <v>5620.16</v>
      </c>
      <c r="M677">
        <v>0.1</v>
      </c>
      <c r="N677" s="4">
        <v>2377.17</v>
      </c>
      <c r="O677" t="s">
        <v>23</v>
      </c>
      <c r="P677">
        <v>9</v>
      </c>
    </row>
    <row r="678" spans="1:16" x14ac:dyDescent="0.35">
      <c r="A678" t="s">
        <v>1905</v>
      </c>
      <c r="B678" s="10" t="s">
        <v>1320</v>
      </c>
      <c r="C678" s="11" t="str">
        <f t="shared" si="10"/>
        <v>December</v>
      </c>
      <c r="D678" t="s">
        <v>468</v>
      </c>
      <c r="E678" t="s">
        <v>1906</v>
      </c>
      <c r="F678" t="s">
        <v>44</v>
      </c>
      <c r="G678" t="s">
        <v>57</v>
      </c>
      <c r="H678" t="s">
        <v>29</v>
      </c>
      <c r="I678" t="s">
        <v>30</v>
      </c>
      <c r="J678">
        <v>9</v>
      </c>
      <c r="K678" s="4">
        <v>1038</v>
      </c>
      <c r="L678" s="2">
        <v>9342</v>
      </c>
      <c r="M678">
        <v>0.2</v>
      </c>
      <c r="N678" s="4">
        <v>2618.14</v>
      </c>
      <c r="O678" t="s">
        <v>23</v>
      </c>
      <c r="P678">
        <v>9</v>
      </c>
    </row>
    <row r="679" spans="1:16" x14ac:dyDescent="0.35">
      <c r="A679" t="s">
        <v>1907</v>
      </c>
      <c r="B679" s="10" t="s">
        <v>1908</v>
      </c>
      <c r="C679" s="11" t="str">
        <f t="shared" si="10"/>
        <v>July</v>
      </c>
      <c r="D679" t="s">
        <v>55</v>
      </c>
      <c r="E679" t="s">
        <v>1909</v>
      </c>
      <c r="F679" t="s">
        <v>36</v>
      </c>
      <c r="G679" t="s">
        <v>37</v>
      </c>
      <c r="H679" t="s">
        <v>21</v>
      </c>
      <c r="I679" t="s">
        <v>82</v>
      </c>
      <c r="J679">
        <v>10</v>
      </c>
      <c r="K679" s="4">
        <v>877.41</v>
      </c>
      <c r="L679" s="2">
        <v>8774.1</v>
      </c>
      <c r="M679">
        <v>0</v>
      </c>
      <c r="N679" s="4">
        <v>2992.78</v>
      </c>
      <c r="O679" t="s">
        <v>31</v>
      </c>
      <c r="P679">
        <v>5</v>
      </c>
    </row>
    <row r="680" spans="1:16" x14ac:dyDescent="0.35">
      <c r="A680" t="s">
        <v>1910</v>
      </c>
      <c r="B680" s="10" t="s">
        <v>1911</v>
      </c>
      <c r="C680" s="11" t="str">
        <f t="shared" si="10"/>
        <v>July</v>
      </c>
      <c r="D680" t="s">
        <v>360</v>
      </c>
      <c r="E680" t="s">
        <v>1912</v>
      </c>
      <c r="F680" t="s">
        <v>44</v>
      </c>
      <c r="G680" t="s">
        <v>37</v>
      </c>
      <c r="H680" t="s">
        <v>76</v>
      </c>
      <c r="I680" t="s">
        <v>128</v>
      </c>
      <c r="J680">
        <v>6</v>
      </c>
      <c r="K680" s="4">
        <v>1035.02</v>
      </c>
      <c r="L680" s="2">
        <v>6210.12</v>
      </c>
      <c r="M680">
        <v>0</v>
      </c>
      <c r="N680" s="4">
        <v>1840.86</v>
      </c>
      <c r="O680" t="s">
        <v>39</v>
      </c>
      <c r="P680">
        <v>10</v>
      </c>
    </row>
    <row r="681" spans="1:16" x14ac:dyDescent="0.35">
      <c r="A681" t="s">
        <v>1913</v>
      </c>
      <c r="B681" s="10" t="s">
        <v>405</v>
      </c>
      <c r="C681" s="11" t="str">
        <f t="shared" si="10"/>
        <v>June</v>
      </c>
      <c r="D681" t="s">
        <v>55</v>
      </c>
      <c r="E681" t="s">
        <v>1914</v>
      </c>
      <c r="F681" t="s">
        <v>44</v>
      </c>
      <c r="G681" t="s">
        <v>28</v>
      </c>
      <c r="H681" t="s">
        <v>29</v>
      </c>
      <c r="I681" t="s">
        <v>45</v>
      </c>
      <c r="J681">
        <v>4</v>
      </c>
      <c r="K681" s="4">
        <v>154</v>
      </c>
      <c r="L681" s="2">
        <v>616</v>
      </c>
      <c r="M681">
        <v>0.05</v>
      </c>
      <c r="N681" s="4">
        <v>315.38</v>
      </c>
      <c r="O681" t="s">
        <v>39</v>
      </c>
      <c r="P681">
        <v>1</v>
      </c>
    </row>
    <row r="682" spans="1:16" x14ac:dyDescent="0.35">
      <c r="A682" t="s">
        <v>1915</v>
      </c>
      <c r="B682" s="10" t="s">
        <v>1916</v>
      </c>
      <c r="C682" s="11" t="str">
        <f t="shared" si="10"/>
        <v>May</v>
      </c>
      <c r="D682" t="s">
        <v>1461</v>
      </c>
      <c r="E682" t="s">
        <v>1917</v>
      </c>
      <c r="F682" t="s">
        <v>19</v>
      </c>
      <c r="G682" t="s">
        <v>37</v>
      </c>
      <c r="H682" t="s">
        <v>29</v>
      </c>
      <c r="I682" t="s">
        <v>224</v>
      </c>
      <c r="J682">
        <v>5</v>
      </c>
      <c r="K682" s="4">
        <v>180.99</v>
      </c>
      <c r="L682" s="2">
        <v>904.95</v>
      </c>
      <c r="M682">
        <v>0.1</v>
      </c>
      <c r="N682" s="4">
        <v>190.69</v>
      </c>
      <c r="O682" t="s">
        <v>23</v>
      </c>
      <c r="P682">
        <v>1</v>
      </c>
    </row>
    <row r="683" spans="1:16" x14ac:dyDescent="0.35">
      <c r="A683" t="s">
        <v>1918</v>
      </c>
      <c r="B683" s="10" t="s">
        <v>240</v>
      </c>
      <c r="C683" s="11" t="str">
        <f t="shared" si="10"/>
        <v>June</v>
      </c>
      <c r="D683" t="s">
        <v>1574</v>
      </c>
      <c r="E683" t="s">
        <v>1919</v>
      </c>
      <c r="F683" t="s">
        <v>44</v>
      </c>
      <c r="G683" t="s">
        <v>57</v>
      </c>
      <c r="H683" t="s">
        <v>21</v>
      </c>
      <c r="I683" t="s">
        <v>82</v>
      </c>
      <c r="J683">
        <v>1</v>
      </c>
      <c r="K683" s="4">
        <v>85.29</v>
      </c>
      <c r="L683" s="2">
        <v>85.29</v>
      </c>
      <c r="M683">
        <v>0</v>
      </c>
      <c r="N683" s="4">
        <v>36.200000000000003</v>
      </c>
      <c r="O683" t="s">
        <v>23</v>
      </c>
      <c r="P683">
        <v>2</v>
      </c>
    </row>
    <row r="684" spans="1:16" x14ac:dyDescent="0.35">
      <c r="A684" t="s">
        <v>1920</v>
      </c>
      <c r="B684" s="10" t="s">
        <v>991</v>
      </c>
      <c r="C684" s="11" t="str">
        <f t="shared" si="10"/>
        <v>March</v>
      </c>
      <c r="D684" t="s">
        <v>451</v>
      </c>
      <c r="E684" t="s">
        <v>1921</v>
      </c>
      <c r="F684" t="s">
        <v>19</v>
      </c>
      <c r="G684" t="s">
        <v>57</v>
      </c>
      <c r="H684" t="s">
        <v>76</v>
      </c>
      <c r="I684" t="s">
        <v>119</v>
      </c>
      <c r="J684">
        <v>4</v>
      </c>
      <c r="K684" s="4">
        <v>152.08000000000001</v>
      </c>
      <c r="L684" s="2">
        <v>608.32000000000005</v>
      </c>
      <c r="M684">
        <v>0.3</v>
      </c>
      <c r="N684" s="4">
        <v>149</v>
      </c>
      <c r="O684" t="s">
        <v>39</v>
      </c>
      <c r="P684">
        <v>2</v>
      </c>
    </row>
    <row r="685" spans="1:16" x14ac:dyDescent="0.35">
      <c r="A685" t="s">
        <v>1922</v>
      </c>
      <c r="B685" s="10" t="s">
        <v>333</v>
      </c>
      <c r="C685" s="11" t="str">
        <f t="shared" si="10"/>
        <v>October</v>
      </c>
      <c r="D685" t="s">
        <v>1410</v>
      </c>
      <c r="E685" t="s">
        <v>1923</v>
      </c>
      <c r="F685" t="s">
        <v>44</v>
      </c>
      <c r="G685" t="s">
        <v>37</v>
      </c>
      <c r="H685" t="s">
        <v>29</v>
      </c>
      <c r="I685" t="s">
        <v>100</v>
      </c>
      <c r="J685">
        <v>2</v>
      </c>
      <c r="K685" s="4">
        <v>932.37</v>
      </c>
      <c r="L685" s="2">
        <v>1864.74</v>
      </c>
      <c r="M685">
        <v>0.1</v>
      </c>
      <c r="N685" s="4">
        <v>701.99</v>
      </c>
      <c r="O685" t="s">
        <v>39</v>
      </c>
      <c r="P685">
        <v>4</v>
      </c>
    </row>
    <row r="686" spans="1:16" x14ac:dyDescent="0.35">
      <c r="A686" t="s">
        <v>1924</v>
      </c>
      <c r="B686" s="10" t="s">
        <v>1586</v>
      </c>
      <c r="C686" s="11" t="str">
        <f t="shared" si="10"/>
        <v>May</v>
      </c>
      <c r="D686" t="s">
        <v>330</v>
      </c>
      <c r="E686" t="s">
        <v>1925</v>
      </c>
      <c r="F686" t="s">
        <v>36</v>
      </c>
      <c r="G686" t="s">
        <v>28</v>
      </c>
      <c r="H686" t="s">
        <v>29</v>
      </c>
      <c r="I686" t="s">
        <v>30</v>
      </c>
      <c r="J686">
        <v>3</v>
      </c>
      <c r="K686" s="4">
        <v>272.64999999999998</v>
      </c>
      <c r="L686" s="2">
        <v>817.95</v>
      </c>
      <c r="M686">
        <v>0.1</v>
      </c>
      <c r="N686" s="4">
        <v>275.48</v>
      </c>
      <c r="O686" t="s">
        <v>23</v>
      </c>
      <c r="P686">
        <v>6</v>
      </c>
    </row>
    <row r="687" spans="1:16" x14ac:dyDescent="0.35">
      <c r="A687" t="s">
        <v>1926</v>
      </c>
      <c r="B687" s="10" t="s">
        <v>1916</v>
      </c>
      <c r="C687" s="11" t="str">
        <f t="shared" si="10"/>
        <v>May</v>
      </c>
      <c r="D687" t="s">
        <v>1927</v>
      </c>
      <c r="E687" t="s">
        <v>1928</v>
      </c>
      <c r="F687" t="s">
        <v>36</v>
      </c>
      <c r="G687" t="s">
        <v>57</v>
      </c>
      <c r="H687" t="s">
        <v>21</v>
      </c>
      <c r="I687" t="s">
        <v>22</v>
      </c>
      <c r="J687">
        <v>6</v>
      </c>
      <c r="K687" s="4">
        <v>663.98</v>
      </c>
      <c r="L687" s="2">
        <v>3983.88</v>
      </c>
      <c r="M687">
        <v>0.15</v>
      </c>
      <c r="N687" s="4">
        <v>937.68</v>
      </c>
      <c r="O687" t="s">
        <v>39</v>
      </c>
      <c r="P687">
        <v>6</v>
      </c>
    </row>
    <row r="688" spans="1:16" x14ac:dyDescent="0.35">
      <c r="A688" t="s">
        <v>1929</v>
      </c>
      <c r="B688" s="10" t="s">
        <v>1236</v>
      </c>
      <c r="C688" s="11" t="str">
        <f t="shared" si="10"/>
        <v>January</v>
      </c>
      <c r="D688" t="s">
        <v>318</v>
      </c>
      <c r="E688" t="s">
        <v>1930</v>
      </c>
      <c r="F688" t="s">
        <v>19</v>
      </c>
      <c r="G688" t="s">
        <v>37</v>
      </c>
      <c r="H688" t="s">
        <v>76</v>
      </c>
      <c r="I688" t="s">
        <v>77</v>
      </c>
      <c r="J688">
        <v>10</v>
      </c>
      <c r="K688" s="4">
        <v>61.08</v>
      </c>
      <c r="L688" s="2">
        <v>610.79999999999995</v>
      </c>
      <c r="M688">
        <v>0.3</v>
      </c>
      <c r="N688" s="4">
        <v>121.9</v>
      </c>
      <c r="O688" t="s">
        <v>39</v>
      </c>
      <c r="P688">
        <v>9</v>
      </c>
    </row>
    <row r="689" spans="1:16" x14ac:dyDescent="0.35">
      <c r="A689" t="s">
        <v>1931</v>
      </c>
      <c r="B689" s="10" t="s">
        <v>174</v>
      </c>
      <c r="C689" s="11" t="str">
        <f t="shared" si="10"/>
        <v>May</v>
      </c>
      <c r="D689" t="s">
        <v>1792</v>
      </c>
      <c r="E689" t="s">
        <v>1932</v>
      </c>
      <c r="F689" t="s">
        <v>44</v>
      </c>
      <c r="G689" t="s">
        <v>20</v>
      </c>
      <c r="H689" t="s">
        <v>76</v>
      </c>
      <c r="I689" t="s">
        <v>87</v>
      </c>
      <c r="J689">
        <v>6</v>
      </c>
      <c r="K689" s="4">
        <v>1085.73</v>
      </c>
      <c r="L689" s="2">
        <v>6514.38</v>
      </c>
      <c r="M689">
        <v>0.3</v>
      </c>
      <c r="N689" s="4">
        <v>2285.41</v>
      </c>
      <c r="O689" t="s">
        <v>39</v>
      </c>
      <c r="P689">
        <v>5</v>
      </c>
    </row>
    <row r="690" spans="1:16" x14ac:dyDescent="0.35">
      <c r="A690" t="s">
        <v>1933</v>
      </c>
      <c r="B690" s="10" t="s">
        <v>536</v>
      </c>
      <c r="C690" s="11" t="str">
        <f t="shared" si="10"/>
        <v>November</v>
      </c>
      <c r="D690" t="s">
        <v>1059</v>
      </c>
      <c r="E690" t="s">
        <v>1934</v>
      </c>
      <c r="F690" t="s">
        <v>19</v>
      </c>
      <c r="G690" t="s">
        <v>28</v>
      </c>
      <c r="H690" t="s">
        <v>76</v>
      </c>
      <c r="I690" t="s">
        <v>77</v>
      </c>
      <c r="J690">
        <v>4</v>
      </c>
      <c r="K690" s="4">
        <v>370.96</v>
      </c>
      <c r="L690" s="2">
        <v>1483.84</v>
      </c>
      <c r="M690">
        <v>0.05</v>
      </c>
      <c r="N690" s="4">
        <v>258.87</v>
      </c>
      <c r="O690" t="s">
        <v>31</v>
      </c>
      <c r="P690">
        <v>5</v>
      </c>
    </row>
    <row r="691" spans="1:16" x14ac:dyDescent="0.35">
      <c r="A691" t="s">
        <v>1935</v>
      </c>
      <c r="B691" s="10" t="s">
        <v>149</v>
      </c>
      <c r="C691" s="11" t="str">
        <f t="shared" si="10"/>
        <v>February</v>
      </c>
      <c r="D691" t="s">
        <v>175</v>
      </c>
      <c r="E691" t="s">
        <v>1936</v>
      </c>
      <c r="F691" t="s">
        <v>19</v>
      </c>
      <c r="G691" t="s">
        <v>57</v>
      </c>
      <c r="H691" t="s">
        <v>29</v>
      </c>
      <c r="I691" t="s">
        <v>45</v>
      </c>
      <c r="J691">
        <v>8</v>
      </c>
      <c r="K691" s="4">
        <v>889.59</v>
      </c>
      <c r="L691" s="2">
        <v>7116.72</v>
      </c>
      <c r="M691">
        <v>0.1</v>
      </c>
      <c r="N691" s="4">
        <v>1684.82</v>
      </c>
      <c r="O691" t="s">
        <v>23</v>
      </c>
      <c r="P691">
        <v>2</v>
      </c>
    </row>
    <row r="692" spans="1:16" x14ac:dyDescent="0.35">
      <c r="A692" t="s">
        <v>1937</v>
      </c>
      <c r="B692" s="10" t="s">
        <v>647</v>
      </c>
      <c r="C692" s="11" t="str">
        <f t="shared" si="10"/>
        <v>August</v>
      </c>
      <c r="D692" t="s">
        <v>863</v>
      </c>
      <c r="E692" t="s">
        <v>1938</v>
      </c>
      <c r="F692" t="s">
        <v>36</v>
      </c>
      <c r="G692" t="s">
        <v>20</v>
      </c>
      <c r="H692" t="s">
        <v>76</v>
      </c>
      <c r="I692" t="s">
        <v>128</v>
      </c>
      <c r="J692">
        <v>10</v>
      </c>
      <c r="K692" s="4">
        <v>880.49</v>
      </c>
      <c r="L692" s="2">
        <v>8804.9</v>
      </c>
      <c r="M692">
        <v>0.2</v>
      </c>
      <c r="N692" s="4">
        <v>1795.4</v>
      </c>
      <c r="O692" t="s">
        <v>23</v>
      </c>
      <c r="P692">
        <v>3</v>
      </c>
    </row>
    <row r="693" spans="1:16" x14ac:dyDescent="0.35">
      <c r="A693" t="s">
        <v>1939</v>
      </c>
      <c r="B693" s="10" t="s">
        <v>145</v>
      </c>
      <c r="C693" s="11" t="str">
        <f t="shared" si="10"/>
        <v>June</v>
      </c>
      <c r="D693" t="s">
        <v>890</v>
      </c>
      <c r="E693" t="s">
        <v>1940</v>
      </c>
      <c r="F693" t="s">
        <v>36</v>
      </c>
      <c r="G693" t="s">
        <v>20</v>
      </c>
      <c r="H693" t="s">
        <v>21</v>
      </c>
      <c r="I693" t="s">
        <v>82</v>
      </c>
      <c r="J693">
        <v>3</v>
      </c>
      <c r="K693" s="4">
        <v>23.63</v>
      </c>
      <c r="L693" s="2">
        <v>70.89</v>
      </c>
      <c r="M693">
        <v>0.05</v>
      </c>
      <c r="N693" s="4">
        <v>20.11</v>
      </c>
      <c r="O693" t="s">
        <v>31</v>
      </c>
      <c r="P693">
        <v>4</v>
      </c>
    </row>
    <row r="694" spans="1:16" x14ac:dyDescent="0.35">
      <c r="A694" t="s">
        <v>1941</v>
      </c>
      <c r="B694" s="10" t="s">
        <v>155</v>
      </c>
      <c r="C694" s="11" t="str">
        <f t="shared" si="10"/>
        <v>March</v>
      </c>
      <c r="D694" t="s">
        <v>793</v>
      </c>
      <c r="E694" t="s">
        <v>1942</v>
      </c>
      <c r="F694" t="s">
        <v>36</v>
      </c>
      <c r="G694" t="s">
        <v>57</v>
      </c>
      <c r="H694" t="s">
        <v>21</v>
      </c>
      <c r="I694" t="s">
        <v>105</v>
      </c>
      <c r="J694">
        <v>10</v>
      </c>
      <c r="K694" s="4">
        <v>829.19</v>
      </c>
      <c r="L694" s="2">
        <v>8291.9</v>
      </c>
      <c r="M694">
        <v>0.1</v>
      </c>
      <c r="N694" s="4">
        <v>2756.76</v>
      </c>
      <c r="O694" t="s">
        <v>39</v>
      </c>
      <c r="P694">
        <v>4</v>
      </c>
    </row>
    <row r="695" spans="1:16" x14ac:dyDescent="0.35">
      <c r="A695" t="s">
        <v>1943</v>
      </c>
      <c r="B695" s="10" t="s">
        <v>559</v>
      </c>
      <c r="C695" s="11" t="str">
        <f t="shared" si="10"/>
        <v>October</v>
      </c>
      <c r="D695" t="s">
        <v>184</v>
      </c>
      <c r="E695" t="s">
        <v>1944</v>
      </c>
      <c r="F695" t="s">
        <v>36</v>
      </c>
      <c r="G695" t="s">
        <v>20</v>
      </c>
      <c r="H695" t="s">
        <v>29</v>
      </c>
      <c r="I695" t="s">
        <v>45</v>
      </c>
      <c r="J695">
        <v>6</v>
      </c>
      <c r="K695" s="4">
        <v>234.63</v>
      </c>
      <c r="L695" s="2">
        <v>1407.78</v>
      </c>
      <c r="M695">
        <v>0.15</v>
      </c>
      <c r="N695" s="4">
        <v>205.93</v>
      </c>
      <c r="O695" t="s">
        <v>23</v>
      </c>
      <c r="P695">
        <v>10</v>
      </c>
    </row>
    <row r="696" spans="1:16" x14ac:dyDescent="0.35">
      <c r="A696" t="s">
        <v>1945</v>
      </c>
      <c r="B696" s="10" t="s">
        <v>1946</v>
      </c>
      <c r="C696" s="11" t="str">
        <f t="shared" si="10"/>
        <v>March</v>
      </c>
      <c r="D696" t="s">
        <v>489</v>
      </c>
      <c r="E696" t="s">
        <v>1947</v>
      </c>
      <c r="F696" t="s">
        <v>44</v>
      </c>
      <c r="G696" t="s">
        <v>28</v>
      </c>
      <c r="H696" t="s">
        <v>21</v>
      </c>
      <c r="I696" t="s">
        <v>105</v>
      </c>
      <c r="J696">
        <v>2</v>
      </c>
      <c r="K696" s="4">
        <v>1169.47</v>
      </c>
      <c r="L696" s="2">
        <v>2338.94</v>
      </c>
      <c r="M696">
        <v>0.05</v>
      </c>
      <c r="N696" s="4">
        <v>989.42</v>
      </c>
      <c r="O696" t="s">
        <v>23</v>
      </c>
      <c r="P696">
        <v>5</v>
      </c>
    </row>
    <row r="697" spans="1:16" x14ac:dyDescent="0.35">
      <c r="A697" t="s">
        <v>1948</v>
      </c>
      <c r="B697" s="10" t="s">
        <v>586</v>
      </c>
      <c r="C697" s="11" t="str">
        <f t="shared" si="10"/>
        <v>September</v>
      </c>
      <c r="D697" t="s">
        <v>191</v>
      </c>
      <c r="E697" t="s">
        <v>1949</v>
      </c>
      <c r="F697" t="s">
        <v>44</v>
      </c>
      <c r="G697" t="s">
        <v>28</v>
      </c>
      <c r="H697" t="s">
        <v>29</v>
      </c>
      <c r="I697" t="s">
        <v>30</v>
      </c>
      <c r="J697">
        <v>6</v>
      </c>
      <c r="K697" s="4">
        <v>220.75</v>
      </c>
      <c r="L697" s="2">
        <v>1324.5</v>
      </c>
      <c r="M697">
        <v>0.2</v>
      </c>
      <c r="N697" s="4">
        <v>533.04</v>
      </c>
      <c r="O697" t="s">
        <v>31</v>
      </c>
      <c r="P697">
        <v>4</v>
      </c>
    </row>
    <row r="698" spans="1:16" x14ac:dyDescent="0.35">
      <c r="A698" t="s">
        <v>1950</v>
      </c>
      <c r="B698" s="10" t="s">
        <v>1951</v>
      </c>
      <c r="C698" s="11" t="str">
        <f t="shared" si="10"/>
        <v>September</v>
      </c>
      <c r="D698" t="s">
        <v>130</v>
      </c>
      <c r="E698" t="s">
        <v>1952</v>
      </c>
      <c r="F698" t="s">
        <v>36</v>
      </c>
      <c r="G698" t="s">
        <v>28</v>
      </c>
      <c r="H698" t="s">
        <v>21</v>
      </c>
      <c r="I698" t="s">
        <v>105</v>
      </c>
      <c r="J698">
        <v>4</v>
      </c>
      <c r="K698" s="4">
        <v>1136.3399999999999</v>
      </c>
      <c r="L698" s="2">
        <v>4545.3599999999997</v>
      </c>
      <c r="M698">
        <v>0.1</v>
      </c>
      <c r="N698" s="4">
        <v>1778.75</v>
      </c>
      <c r="O698" t="s">
        <v>31</v>
      </c>
      <c r="P698">
        <v>10</v>
      </c>
    </row>
    <row r="699" spans="1:16" x14ac:dyDescent="0.35">
      <c r="A699" t="s">
        <v>1953</v>
      </c>
      <c r="B699" s="10" t="s">
        <v>1887</v>
      </c>
      <c r="C699" s="11" t="str">
        <f t="shared" si="10"/>
        <v>January</v>
      </c>
      <c r="D699" t="s">
        <v>299</v>
      </c>
      <c r="E699" t="s">
        <v>1954</v>
      </c>
      <c r="F699" t="s">
        <v>44</v>
      </c>
      <c r="G699" t="s">
        <v>37</v>
      </c>
      <c r="H699" t="s">
        <v>29</v>
      </c>
      <c r="I699" t="s">
        <v>110</v>
      </c>
      <c r="J699">
        <v>4</v>
      </c>
      <c r="K699" s="4">
        <v>513.63</v>
      </c>
      <c r="L699" s="2">
        <v>2054.52</v>
      </c>
      <c r="M699">
        <v>0.15</v>
      </c>
      <c r="N699" s="4">
        <v>406.92</v>
      </c>
      <c r="O699" t="s">
        <v>23</v>
      </c>
      <c r="P699">
        <v>8</v>
      </c>
    </row>
    <row r="700" spans="1:16" x14ac:dyDescent="0.35">
      <c r="A700" t="s">
        <v>1955</v>
      </c>
      <c r="B700" s="10" t="s">
        <v>1200</v>
      </c>
      <c r="C700" s="11" t="str">
        <f t="shared" si="10"/>
        <v>August</v>
      </c>
      <c r="D700" t="s">
        <v>1010</v>
      </c>
      <c r="E700" t="s">
        <v>1956</v>
      </c>
      <c r="F700" t="s">
        <v>44</v>
      </c>
      <c r="G700" t="s">
        <v>28</v>
      </c>
      <c r="H700" t="s">
        <v>29</v>
      </c>
      <c r="I700" t="s">
        <v>110</v>
      </c>
      <c r="J700">
        <v>10</v>
      </c>
      <c r="K700" s="4">
        <v>827.44</v>
      </c>
      <c r="L700" s="2">
        <v>8274.4</v>
      </c>
      <c r="M700">
        <v>0.15</v>
      </c>
      <c r="N700" s="4">
        <v>3627.07</v>
      </c>
      <c r="O700" t="s">
        <v>23</v>
      </c>
      <c r="P700">
        <v>4</v>
      </c>
    </row>
    <row r="701" spans="1:16" x14ac:dyDescent="0.35">
      <c r="A701" t="s">
        <v>1957</v>
      </c>
      <c r="B701" s="10" t="s">
        <v>875</v>
      </c>
      <c r="C701" s="11" t="str">
        <f t="shared" si="10"/>
        <v>October</v>
      </c>
      <c r="D701" t="s">
        <v>1958</v>
      </c>
      <c r="E701" t="s">
        <v>1959</v>
      </c>
      <c r="F701" t="s">
        <v>36</v>
      </c>
      <c r="G701" t="s">
        <v>57</v>
      </c>
      <c r="H701" t="s">
        <v>21</v>
      </c>
      <c r="I701" t="s">
        <v>82</v>
      </c>
      <c r="J701">
        <v>7</v>
      </c>
      <c r="K701" s="4">
        <v>888.6</v>
      </c>
      <c r="L701" s="2">
        <v>6220.2</v>
      </c>
      <c r="M701">
        <v>0.1</v>
      </c>
      <c r="N701" s="4">
        <v>2915.41</v>
      </c>
      <c r="O701" t="s">
        <v>31</v>
      </c>
      <c r="P701">
        <v>8</v>
      </c>
    </row>
    <row r="702" spans="1:16" x14ac:dyDescent="0.35">
      <c r="A702" t="s">
        <v>1960</v>
      </c>
      <c r="B702" s="10" t="s">
        <v>226</v>
      </c>
      <c r="C702" s="11" t="str">
        <f t="shared" si="10"/>
        <v>September</v>
      </c>
      <c r="D702" t="s">
        <v>644</v>
      </c>
      <c r="E702" t="s">
        <v>1961</v>
      </c>
      <c r="F702" t="s">
        <v>44</v>
      </c>
      <c r="G702" t="s">
        <v>57</v>
      </c>
      <c r="H702" t="s">
        <v>76</v>
      </c>
      <c r="I702" t="s">
        <v>177</v>
      </c>
      <c r="J702">
        <v>10</v>
      </c>
      <c r="K702" s="4">
        <v>857.29</v>
      </c>
      <c r="L702" s="2">
        <v>8572.9</v>
      </c>
      <c r="M702">
        <v>0</v>
      </c>
      <c r="N702" s="4">
        <v>4696.71</v>
      </c>
      <c r="O702" t="s">
        <v>39</v>
      </c>
      <c r="P702">
        <v>6</v>
      </c>
    </row>
    <row r="703" spans="1:16" x14ac:dyDescent="0.35">
      <c r="A703" t="s">
        <v>1962</v>
      </c>
      <c r="B703" s="10" t="s">
        <v>1963</v>
      </c>
      <c r="C703" s="11" t="str">
        <f t="shared" si="10"/>
        <v>September</v>
      </c>
      <c r="D703" t="s">
        <v>245</v>
      </c>
      <c r="E703" t="s">
        <v>1964</v>
      </c>
      <c r="F703" t="s">
        <v>44</v>
      </c>
      <c r="G703" t="s">
        <v>37</v>
      </c>
      <c r="H703" t="s">
        <v>29</v>
      </c>
      <c r="I703" t="s">
        <v>100</v>
      </c>
      <c r="J703">
        <v>1</v>
      </c>
      <c r="K703" s="4">
        <v>704.97</v>
      </c>
      <c r="L703" s="2">
        <v>704.97</v>
      </c>
      <c r="M703">
        <v>0.1</v>
      </c>
      <c r="N703" s="4">
        <v>305.85000000000002</v>
      </c>
      <c r="O703" t="s">
        <v>31</v>
      </c>
      <c r="P703">
        <v>6</v>
      </c>
    </row>
    <row r="704" spans="1:16" x14ac:dyDescent="0.35">
      <c r="A704" t="s">
        <v>1965</v>
      </c>
      <c r="B704" s="10" t="s">
        <v>1966</v>
      </c>
      <c r="C704" s="11" t="str">
        <f t="shared" si="10"/>
        <v>March</v>
      </c>
      <c r="D704" t="s">
        <v>822</v>
      </c>
      <c r="E704" t="s">
        <v>1967</v>
      </c>
      <c r="F704" t="s">
        <v>44</v>
      </c>
      <c r="G704" t="s">
        <v>57</v>
      </c>
      <c r="H704" t="s">
        <v>21</v>
      </c>
      <c r="I704" t="s">
        <v>71</v>
      </c>
      <c r="J704">
        <v>7</v>
      </c>
      <c r="K704" s="4">
        <v>187.32</v>
      </c>
      <c r="L704" s="2">
        <v>1311.24</v>
      </c>
      <c r="M704">
        <v>0</v>
      </c>
      <c r="N704" s="4">
        <v>556.87</v>
      </c>
      <c r="O704" t="s">
        <v>39</v>
      </c>
      <c r="P704">
        <v>5</v>
      </c>
    </row>
    <row r="705" spans="1:16" x14ac:dyDescent="0.35">
      <c r="A705" t="s">
        <v>1968</v>
      </c>
      <c r="B705" s="10" t="s">
        <v>1337</v>
      </c>
      <c r="C705" s="11" t="str">
        <f t="shared" si="10"/>
        <v>June</v>
      </c>
      <c r="D705" t="s">
        <v>1410</v>
      </c>
      <c r="E705" t="s">
        <v>1969</v>
      </c>
      <c r="F705" t="s">
        <v>44</v>
      </c>
      <c r="G705" t="s">
        <v>37</v>
      </c>
      <c r="H705" t="s">
        <v>76</v>
      </c>
      <c r="I705" t="s">
        <v>177</v>
      </c>
      <c r="J705">
        <v>5</v>
      </c>
      <c r="K705" s="4">
        <v>630.03</v>
      </c>
      <c r="L705" s="2">
        <v>3150.15</v>
      </c>
      <c r="M705">
        <v>0.15</v>
      </c>
      <c r="N705" s="4">
        <v>516.6</v>
      </c>
      <c r="O705" t="s">
        <v>23</v>
      </c>
      <c r="P705">
        <v>8</v>
      </c>
    </row>
    <row r="706" spans="1:16" x14ac:dyDescent="0.35">
      <c r="A706" t="s">
        <v>1970</v>
      </c>
      <c r="B706" s="10" t="s">
        <v>1878</v>
      </c>
      <c r="C706" s="11" t="str">
        <f t="shared" si="10"/>
        <v>May</v>
      </c>
      <c r="D706" t="s">
        <v>175</v>
      </c>
      <c r="E706" t="s">
        <v>1971</v>
      </c>
      <c r="F706" t="s">
        <v>19</v>
      </c>
      <c r="G706" t="s">
        <v>28</v>
      </c>
      <c r="H706" t="s">
        <v>29</v>
      </c>
      <c r="I706" t="s">
        <v>224</v>
      </c>
      <c r="J706">
        <v>3</v>
      </c>
      <c r="K706" s="4">
        <v>84.39</v>
      </c>
      <c r="L706" s="2">
        <v>253.17</v>
      </c>
      <c r="M706">
        <v>0.05</v>
      </c>
      <c r="N706" s="4">
        <v>128.83000000000001</v>
      </c>
      <c r="O706" t="s">
        <v>39</v>
      </c>
      <c r="P706">
        <v>2</v>
      </c>
    </row>
    <row r="707" spans="1:16" x14ac:dyDescent="0.35">
      <c r="A707" t="s">
        <v>1972</v>
      </c>
      <c r="B707" s="10" t="s">
        <v>722</v>
      </c>
      <c r="C707" s="11" t="str">
        <f t="shared" ref="C707:C770" si="11">TEXT(B707,"MMMM")</f>
        <v>August</v>
      </c>
      <c r="D707" t="s">
        <v>1201</v>
      </c>
      <c r="E707" t="s">
        <v>1973</v>
      </c>
      <c r="F707" t="s">
        <v>36</v>
      </c>
      <c r="G707" t="s">
        <v>37</v>
      </c>
      <c r="H707" t="s">
        <v>76</v>
      </c>
      <c r="I707" t="s">
        <v>77</v>
      </c>
      <c r="J707">
        <v>8</v>
      </c>
      <c r="K707" s="4">
        <v>440.69</v>
      </c>
      <c r="L707" s="2">
        <v>3525.52</v>
      </c>
      <c r="M707">
        <v>0.3</v>
      </c>
      <c r="N707" s="4">
        <v>803.68</v>
      </c>
      <c r="O707" t="s">
        <v>31</v>
      </c>
      <c r="P707">
        <v>6</v>
      </c>
    </row>
    <row r="708" spans="1:16" x14ac:dyDescent="0.35">
      <c r="A708" t="s">
        <v>1974</v>
      </c>
      <c r="B708" s="10" t="s">
        <v>1188</v>
      </c>
      <c r="C708" s="11" t="str">
        <f t="shared" si="11"/>
        <v>May</v>
      </c>
      <c r="D708" t="s">
        <v>307</v>
      </c>
      <c r="E708" t="s">
        <v>1975</v>
      </c>
      <c r="F708" t="s">
        <v>19</v>
      </c>
      <c r="G708" t="s">
        <v>37</v>
      </c>
      <c r="H708" t="s">
        <v>29</v>
      </c>
      <c r="I708" t="s">
        <v>224</v>
      </c>
      <c r="J708">
        <v>5</v>
      </c>
      <c r="K708" s="4">
        <v>233.17</v>
      </c>
      <c r="L708" s="2">
        <v>1165.8499999999999</v>
      </c>
      <c r="M708">
        <v>0.05</v>
      </c>
      <c r="N708" s="4">
        <v>276.92</v>
      </c>
      <c r="O708" t="s">
        <v>23</v>
      </c>
      <c r="P708">
        <v>1</v>
      </c>
    </row>
    <row r="709" spans="1:16" x14ac:dyDescent="0.35">
      <c r="A709" t="s">
        <v>1976</v>
      </c>
      <c r="B709" s="10" t="s">
        <v>1222</v>
      </c>
      <c r="C709" s="11" t="str">
        <f t="shared" si="11"/>
        <v>September</v>
      </c>
      <c r="D709" t="s">
        <v>17</v>
      </c>
      <c r="E709" t="s">
        <v>1977</v>
      </c>
      <c r="F709" t="s">
        <v>36</v>
      </c>
      <c r="G709" t="s">
        <v>57</v>
      </c>
      <c r="H709" t="s">
        <v>21</v>
      </c>
      <c r="I709" t="s">
        <v>71</v>
      </c>
      <c r="J709">
        <v>3</v>
      </c>
      <c r="K709" s="4">
        <v>511.37</v>
      </c>
      <c r="L709" s="2">
        <v>1534.11</v>
      </c>
      <c r="M709">
        <v>0</v>
      </c>
      <c r="N709" s="4">
        <v>692.71</v>
      </c>
      <c r="O709" t="s">
        <v>31</v>
      </c>
      <c r="P709">
        <v>5</v>
      </c>
    </row>
    <row r="710" spans="1:16" x14ac:dyDescent="0.35">
      <c r="A710" t="s">
        <v>1978</v>
      </c>
      <c r="B710" s="10" t="s">
        <v>1603</v>
      </c>
      <c r="C710" s="11" t="str">
        <f t="shared" si="11"/>
        <v>March</v>
      </c>
      <c r="D710" t="s">
        <v>1018</v>
      </c>
      <c r="E710" t="s">
        <v>1979</v>
      </c>
      <c r="F710" t="s">
        <v>36</v>
      </c>
      <c r="G710" t="s">
        <v>28</v>
      </c>
      <c r="H710" t="s">
        <v>21</v>
      </c>
      <c r="I710" t="s">
        <v>22</v>
      </c>
      <c r="J710">
        <v>7</v>
      </c>
      <c r="K710" s="4">
        <v>460.8</v>
      </c>
      <c r="L710" s="2">
        <v>3225.6</v>
      </c>
      <c r="M710">
        <v>0</v>
      </c>
      <c r="N710" s="4">
        <v>694.18</v>
      </c>
      <c r="O710" t="s">
        <v>23</v>
      </c>
      <c r="P710">
        <v>8</v>
      </c>
    </row>
    <row r="711" spans="1:16" x14ac:dyDescent="0.35">
      <c r="A711" t="s">
        <v>1980</v>
      </c>
      <c r="B711" s="10" t="s">
        <v>517</v>
      </c>
      <c r="C711" s="11" t="str">
        <f t="shared" si="11"/>
        <v>December</v>
      </c>
      <c r="D711" t="s">
        <v>1658</v>
      </c>
      <c r="E711" t="s">
        <v>1981</v>
      </c>
      <c r="F711" t="s">
        <v>44</v>
      </c>
      <c r="G711" t="s">
        <v>57</v>
      </c>
      <c r="H711" t="s">
        <v>76</v>
      </c>
      <c r="I711" t="s">
        <v>87</v>
      </c>
      <c r="J711">
        <v>10</v>
      </c>
      <c r="K711" s="4">
        <v>796.45</v>
      </c>
      <c r="L711" s="2">
        <v>7964.5</v>
      </c>
      <c r="M711">
        <v>0.1</v>
      </c>
      <c r="N711" s="4">
        <v>1161.8800000000001</v>
      </c>
      <c r="O711" t="s">
        <v>23</v>
      </c>
      <c r="P711">
        <v>10</v>
      </c>
    </row>
    <row r="712" spans="1:16" x14ac:dyDescent="0.35">
      <c r="A712" t="s">
        <v>1982</v>
      </c>
      <c r="B712" s="10" t="s">
        <v>1983</v>
      </c>
      <c r="C712" s="11" t="str">
        <f t="shared" si="11"/>
        <v>January</v>
      </c>
      <c r="D712" t="s">
        <v>468</v>
      </c>
      <c r="E712" t="s">
        <v>1984</v>
      </c>
      <c r="F712" t="s">
        <v>36</v>
      </c>
      <c r="G712" t="s">
        <v>28</v>
      </c>
      <c r="H712" t="s">
        <v>29</v>
      </c>
      <c r="I712" t="s">
        <v>224</v>
      </c>
      <c r="J712">
        <v>1</v>
      </c>
      <c r="K712" s="4">
        <v>965.84</v>
      </c>
      <c r="L712" s="2">
        <v>965.84</v>
      </c>
      <c r="M712">
        <v>0.1</v>
      </c>
      <c r="N712" s="4">
        <v>365.72</v>
      </c>
      <c r="O712" t="s">
        <v>31</v>
      </c>
      <c r="P712">
        <v>7</v>
      </c>
    </row>
    <row r="713" spans="1:16" x14ac:dyDescent="0.35">
      <c r="A713" t="s">
        <v>1985</v>
      </c>
      <c r="B713" s="10" t="s">
        <v>828</v>
      </c>
      <c r="C713" s="11" t="str">
        <f t="shared" si="11"/>
        <v>April</v>
      </c>
      <c r="D713" t="s">
        <v>175</v>
      </c>
      <c r="E713" t="s">
        <v>1986</v>
      </c>
      <c r="F713" t="s">
        <v>44</v>
      </c>
      <c r="G713" t="s">
        <v>28</v>
      </c>
      <c r="H713" t="s">
        <v>76</v>
      </c>
      <c r="I713" t="s">
        <v>119</v>
      </c>
      <c r="J713">
        <v>4</v>
      </c>
      <c r="K713" s="4">
        <v>1158.76</v>
      </c>
      <c r="L713" s="2">
        <v>4635.04</v>
      </c>
      <c r="M713">
        <v>0.15</v>
      </c>
      <c r="N713" s="4">
        <v>2026.33</v>
      </c>
      <c r="O713" t="s">
        <v>39</v>
      </c>
      <c r="P713">
        <v>3</v>
      </c>
    </row>
    <row r="714" spans="1:16" x14ac:dyDescent="0.35">
      <c r="A714" t="s">
        <v>1987</v>
      </c>
      <c r="B714" s="10" t="s">
        <v>405</v>
      </c>
      <c r="C714" s="11" t="str">
        <f t="shared" si="11"/>
        <v>June</v>
      </c>
      <c r="D714" t="s">
        <v>195</v>
      </c>
      <c r="E714" t="s">
        <v>1988</v>
      </c>
      <c r="F714" t="s">
        <v>19</v>
      </c>
      <c r="G714" t="s">
        <v>37</v>
      </c>
      <c r="H714" t="s">
        <v>29</v>
      </c>
      <c r="I714" t="s">
        <v>110</v>
      </c>
      <c r="J714">
        <v>8</v>
      </c>
      <c r="K714" s="4">
        <v>965.3</v>
      </c>
      <c r="L714" s="2">
        <v>7722.4</v>
      </c>
      <c r="M714">
        <v>0.3</v>
      </c>
      <c r="N714" s="4">
        <v>1229.57</v>
      </c>
      <c r="O714" t="s">
        <v>39</v>
      </c>
      <c r="P714">
        <v>2</v>
      </c>
    </row>
    <row r="715" spans="1:16" x14ac:dyDescent="0.35">
      <c r="A715" t="s">
        <v>1989</v>
      </c>
      <c r="B715" s="10" t="s">
        <v>739</v>
      </c>
      <c r="C715" s="11" t="str">
        <f t="shared" si="11"/>
        <v>October</v>
      </c>
      <c r="D715" t="s">
        <v>497</v>
      </c>
      <c r="E715" t="s">
        <v>1990</v>
      </c>
      <c r="F715" t="s">
        <v>44</v>
      </c>
      <c r="G715" t="s">
        <v>20</v>
      </c>
      <c r="H715" t="s">
        <v>76</v>
      </c>
      <c r="I715" t="s">
        <v>177</v>
      </c>
      <c r="J715">
        <v>4</v>
      </c>
      <c r="K715" s="4">
        <v>597.76</v>
      </c>
      <c r="L715" s="2">
        <v>2391.04</v>
      </c>
      <c r="M715">
        <v>0.15</v>
      </c>
      <c r="N715" s="4">
        <v>730.49</v>
      </c>
      <c r="O715" t="s">
        <v>39</v>
      </c>
      <c r="P715">
        <v>6</v>
      </c>
    </row>
    <row r="716" spans="1:16" x14ac:dyDescent="0.35">
      <c r="A716" t="s">
        <v>1991</v>
      </c>
      <c r="B716" s="10" t="s">
        <v>33</v>
      </c>
      <c r="C716" s="11" t="str">
        <f t="shared" si="11"/>
        <v>June</v>
      </c>
      <c r="D716" t="s">
        <v>55</v>
      </c>
      <c r="E716" t="s">
        <v>1992</v>
      </c>
      <c r="F716" t="s">
        <v>19</v>
      </c>
      <c r="G716" t="s">
        <v>37</v>
      </c>
      <c r="H716" t="s">
        <v>21</v>
      </c>
      <c r="I716" t="s">
        <v>105</v>
      </c>
      <c r="J716">
        <v>7</v>
      </c>
      <c r="K716" s="4">
        <v>764.21</v>
      </c>
      <c r="L716" s="2">
        <v>5349.47</v>
      </c>
      <c r="M716">
        <v>0</v>
      </c>
      <c r="N716" s="4">
        <v>2855.68</v>
      </c>
      <c r="O716" t="s">
        <v>23</v>
      </c>
      <c r="P716">
        <v>3</v>
      </c>
    </row>
    <row r="717" spans="1:16" x14ac:dyDescent="0.35">
      <c r="A717" t="s">
        <v>1993</v>
      </c>
      <c r="B717" s="10" t="s">
        <v>1421</v>
      </c>
      <c r="C717" s="11" t="str">
        <f t="shared" si="11"/>
        <v>September</v>
      </c>
      <c r="D717" t="s">
        <v>759</v>
      </c>
      <c r="E717" t="s">
        <v>1081</v>
      </c>
      <c r="F717" t="s">
        <v>36</v>
      </c>
      <c r="G717" t="s">
        <v>37</v>
      </c>
      <c r="H717" t="s">
        <v>76</v>
      </c>
      <c r="I717" t="s">
        <v>177</v>
      </c>
      <c r="J717">
        <v>9</v>
      </c>
      <c r="K717" s="4">
        <v>119.08</v>
      </c>
      <c r="L717" s="2">
        <v>1071.72</v>
      </c>
      <c r="M717">
        <v>0.15</v>
      </c>
      <c r="N717" s="4">
        <v>341.66</v>
      </c>
      <c r="O717" t="s">
        <v>23</v>
      </c>
      <c r="P717">
        <v>5</v>
      </c>
    </row>
    <row r="718" spans="1:16" x14ac:dyDescent="0.35">
      <c r="A718" t="s">
        <v>1994</v>
      </c>
      <c r="B718" s="10" t="s">
        <v>796</v>
      </c>
      <c r="C718" s="11" t="str">
        <f t="shared" si="11"/>
        <v>January</v>
      </c>
      <c r="D718" t="s">
        <v>341</v>
      </c>
      <c r="E718" t="s">
        <v>1995</v>
      </c>
      <c r="F718" t="s">
        <v>36</v>
      </c>
      <c r="G718" t="s">
        <v>28</v>
      </c>
      <c r="H718" t="s">
        <v>29</v>
      </c>
      <c r="I718" t="s">
        <v>100</v>
      </c>
      <c r="J718">
        <v>7</v>
      </c>
      <c r="K718" s="4">
        <v>368.67</v>
      </c>
      <c r="L718" s="2">
        <v>2580.69</v>
      </c>
      <c r="M718">
        <v>0</v>
      </c>
      <c r="N718" s="4">
        <v>850.6</v>
      </c>
      <c r="O718" t="s">
        <v>39</v>
      </c>
      <c r="P718">
        <v>2</v>
      </c>
    </row>
    <row r="719" spans="1:16" x14ac:dyDescent="0.35">
      <c r="A719" t="s">
        <v>1996</v>
      </c>
      <c r="B719" s="10" t="s">
        <v>569</v>
      </c>
      <c r="C719" s="11" t="str">
        <f t="shared" si="11"/>
        <v>September</v>
      </c>
      <c r="D719" t="s">
        <v>964</v>
      </c>
      <c r="E719" t="s">
        <v>1997</v>
      </c>
      <c r="F719" t="s">
        <v>36</v>
      </c>
      <c r="G719" t="s">
        <v>28</v>
      </c>
      <c r="H719" t="s">
        <v>76</v>
      </c>
      <c r="I719" t="s">
        <v>177</v>
      </c>
      <c r="J719">
        <v>5</v>
      </c>
      <c r="K719" s="4">
        <v>439.44</v>
      </c>
      <c r="L719" s="2">
        <v>2197.1999999999998</v>
      </c>
      <c r="M719">
        <v>0.2</v>
      </c>
      <c r="N719" s="4">
        <v>909.28</v>
      </c>
      <c r="O719" t="s">
        <v>31</v>
      </c>
      <c r="P719">
        <v>3</v>
      </c>
    </row>
    <row r="720" spans="1:16" x14ac:dyDescent="0.35">
      <c r="A720" t="s">
        <v>1998</v>
      </c>
      <c r="B720" s="10" t="s">
        <v>705</v>
      </c>
      <c r="C720" s="11" t="str">
        <f t="shared" si="11"/>
        <v>October</v>
      </c>
      <c r="D720" t="s">
        <v>1135</v>
      </c>
      <c r="E720" t="s">
        <v>1999</v>
      </c>
      <c r="F720" t="s">
        <v>44</v>
      </c>
      <c r="G720" t="s">
        <v>28</v>
      </c>
      <c r="H720" t="s">
        <v>76</v>
      </c>
      <c r="I720" t="s">
        <v>77</v>
      </c>
      <c r="J720">
        <v>2</v>
      </c>
      <c r="K720" s="4">
        <v>511.18</v>
      </c>
      <c r="L720" s="2">
        <v>1022.36</v>
      </c>
      <c r="M720">
        <v>0.3</v>
      </c>
      <c r="N720" s="4">
        <v>308.39999999999998</v>
      </c>
      <c r="O720" t="s">
        <v>23</v>
      </c>
      <c r="P720">
        <v>5</v>
      </c>
    </row>
    <row r="721" spans="1:16" x14ac:dyDescent="0.35">
      <c r="A721" t="s">
        <v>2000</v>
      </c>
      <c r="B721" s="10" t="s">
        <v>979</v>
      </c>
      <c r="C721" s="11" t="str">
        <f t="shared" si="11"/>
        <v>May</v>
      </c>
      <c r="D721" t="s">
        <v>665</v>
      </c>
      <c r="E721" t="s">
        <v>2001</v>
      </c>
      <c r="F721" t="s">
        <v>36</v>
      </c>
      <c r="G721" t="s">
        <v>28</v>
      </c>
      <c r="H721" t="s">
        <v>76</v>
      </c>
      <c r="I721" t="s">
        <v>119</v>
      </c>
      <c r="J721">
        <v>4</v>
      </c>
      <c r="K721" s="4">
        <v>238.4</v>
      </c>
      <c r="L721" s="2">
        <v>953.6</v>
      </c>
      <c r="M721">
        <v>0.3</v>
      </c>
      <c r="N721" s="4">
        <v>104.88</v>
      </c>
      <c r="O721" t="s">
        <v>23</v>
      </c>
      <c r="P721">
        <v>1</v>
      </c>
    </row>
    <row r="722" spans="1:16" x14ac:dyDescent="0.35">
      <c r="A722" t="s">
        <v>2002</v>
      </c>
      <c r="B722" s="10" t="s">
        <v>552</v>
      </c>
      <c r="C722" s="11" t="str">
        <f t="shared" si="11"/>
        <v>December</v>
      </c>
      <c r="D722" t="s">
        <v>1204</v>
      </c>
      <c r="E722" t="s">
        <v>2003</v>
      </c>
      <c r="F722" t="s">
        <v>19</v>
      </c>
      <c r="G722" t="s">
        <v>28</v>
      </c>
      <c r="H722" t="s">
        <v>29</v>
      </c>
      <c r="I722" t="s">
        <v>45</v>
      </c>
      <c r="J722">
        <v>2</v>
      </c>
      <c r="K722" s="4">
        <v>35.700000000000003</v>
      </c>
      <c r="L722" s="2">
        <v>71.400000000000006</v>
      </c>
      <c r="M722">
        <v>0.3</v>
      </c>
      <c r="N722" s="4">
        <v>17.95</v>
      </c>
      <c r="O722" t="s">
        <v>39</v>
      </c>
      <c r="P722">
        <v>10</v>
      </c>
    </row>
    <row r="723" spans="1:16" x14ac:dyDescent="0.35">
      <c r="A723" t="s">
        <v>2004</v>
      </c>
      <c r="B723" s="10" t="s">
        <v>1156</v>
      </c>
      <c r="C723" s="11" t="str">
        <f t="shared" si="11"/>
        <v>January</v>
      </c>
      <c r="D723" t="s">
        <v>1604</v>
      </c>
      <c r="E723" t="s">
        <v>2005</v>
      </c>
      <c r="F723" t="s">
        <v>36</v>
      </c>
      <c r="G723" t="s">
        <v>20</v>
      </c>
      <c r="H723" t="s">
        <v>21</v>
      </c>
      <c r="I723" t="s">
        <v>38</v>
      </c>
      <c r="J723">
        <v>7</v>
      </c>
      <c r="K723" s="4">
        <v>969.48</v>
      </c>
      <c r="L723" s="2">
        <v>6786.36</v>
      </c>
      <c r="M723">
        <v>0</v>
      </c>
      <c r="N723" s="4">
        <v>3392.94</v>
      </c>
      <c r="O723" t="s">
        <v>23</v>
      </c>
      <c r="P723">
        <v>4</v>
      </c>
    </row>
    <row r="724" spans="1:16" x14ac:dyDescent="0.35">
      <c r="A724" t="s">
        <v>2006</v>
      </c>
      <c r="B724" s="10" t="s">
        <v>637</v>
      </c>
      <c r="C724" s="11" t="str">
        <f t="shared" si="11"/>
        <v>November</v>
      </c>
      <c r="D724" t="s">
        <v>122</v>
      </c>
      <c r="E724" t="s">
        <v>2007</v>
      </c>
      <c r="F724" t="s">
        <v>36</v>
      </c>
      <c r="G724" t="s">
        <v>20</v>
      </c>
      <c r="H724" t="s">
        <v>29</v>
      </c>
      <c r="I724" t="s">
        <v>224</v>
      </c>
      <c r="J724">
        <v>8</v>
      </c>
      <c r="K724" s="4">
        <v>785.38</v>
      </c>
      <c r="L724" s="2">
        <v>6283.04</v>
      </c>
      <c r="M724">
        <v>0.3</v>
      </c>
      <c r="N724" s="4">
        <v>1993.62</v>
      </c>
      <c r="O724" t="s">
        <v>39</v>
      </c>
      <c r="P724">
        <v>8</v>
      </c>
    </row>
    <row r="725" spans="1:16" x14ac:dyDescent="0.35">
      <c r="A725" t="s">
        <v>2008</v>
      </c>
      <c r="B725" s="10" t="s">
        <v>735</v>
      </c>
      <c r="C725" s="11" t="str">
        <f t="shared" si="11"/>
        <v>December</v>
      </c>
      <c r="D725" t="s">
        <v>1792</v>
      </c>
      <c r="E725" t="s">
        <v>2009</v>
      </c>
      <c r="F725" t="s">
        <v>44</v>
      </c>
      <c r="G725" t="s">
        <v>28</v>
      </c>
      <c r="H725" t="s">
        <v>29</v>
      </c>
      <c r="I725" t="s">
        <v>45</v>
      </c>
      <c r="J725">
        <v>7</v>
      </c>
      <c r="K725" s="4">
        <v>45.74</v>
      </c>
      <c r="L725" s="2">
        <v>320.18</v>
      </c>
      <c r="M725">
        <v>0.05</v>
      </c>
      <c r="N725" s="4">
        <v>57.5</v>
      </c>
      <c r="O725" t="s">
        <v>31</v>
      </c>
      <c r="P725">
        <v>8</v>
      </c>
    </row>
    <row r="726" spans="1:16" x14ac:dyDescent="0.35">
      <c r="A726" t="s">
        <v>2010</v>
      </c>
      <c r="B726" s="10" t="s">
        <v>1387</v>
      </c>
      <c r="C726" s="11" t="str">
        <f t="shared" si="11"/>
        <v>January</v>
      </c>
      <c r="D726" t="s">
        <v>843</v>
      </c>
      <c r="E726" t="s">
        <v>2011</v>
      </c>
      <c r="F726" t="s">
        <v>19</v>
      </c>
      <c r="G726" t="s">
        <v>28</v>
      </c>
      <c r="H726" t="s">
        <v>21</v>
      </c>
      <c r="I726" t="s">
        <v>105</v>
      </c>
      <c r="J726">
        <v>4</v>
      </c>
      <c r="K726" s="4">
        <v>367.9</v>
      </c>
      <c r="L726" s="2">
        <v>1471.6</v>
      </c>
      <c r="M726">
        <v>0.15</v>
      </c>
      <c r="N726" s="4">
        <v>662.49</v>
      </c>
      <c r="O726" t="s">
        <v>39</v>
      </c>
      <c r="P726">
        <v>8</v>
      </c>
    </row>
    <row r="727" spans="1:16" x14ac:dyDescent="0.35">
      <c r="A727" t="s">
        <v>2012</v>
      </c>
      <c r="B727" s="10" t="s">
        <v>2013</v>
      </c>
      <c r="C727" s="11" t="str">
        <f t="shared" si="11"/>
        <v>July</v>
      </c>
      <c r="D727" t="s">
        <v>231</v>
      </c>
      <c r="E727" t="s">
        <v>2014</v>
      </c>
      <c r="F727" t="s">
        <v>19</v>
      </c>
      <c r="G727" t="s">
        <v>28</v>
      </c>
      <c r="H727" t="s">
        <v>21</v>
      </c>
      <c r="I727" t="s">
        <v>71</v>
      </c>
      <c r="J727">
        <v>10</v>
      </c>
      <c r="K727" s="4">
        <v>882.67</v>
      </c>
      <c r="L727" s="2">
        <v>8826.7000000000007</v>
      </c>
      <c r="M727">
        <v>0.1</v>
      </c>
      <c r="N727" s="4">
        <v>4251.59</v>
      </c>
      <c r="O727" t="s">
        <v>31</v>
      </c>
      <c r="P727">
        <v>1</v>
      </c>
    </row>
    <row r="728" spans="1:16" x14ac:dyDescent="0.35">
      <c r="A728" t="s">
        <v>2015</v>
      </c>
      <c r="B728" s="10" t="s">
        <v>1699</v>
      </c>
      <c r="C728" s="11" t="str">
        <f t="shared" si="11"/>
        <v>November</v>
      </c>
      <c r="D728" t="s">
        <v>237</v>
      </c>
      <c r="E728" t="s">
        <v>2016</v>
      </c>
      <c r="F728" t="s">
        <v>44</v>
      </c>
      <c r="G728" t="s">
        <v>20</v>
      </c>
      <c r="H728" t="s">
        <v>21</v>
      </c>
      <c r="I728" t="s">
        <v>22</v>
      </c>
      <c r="J728">
        <v>7</v>
      </c>
      <c r="K728" s="4">
        <v>700.16</v>
      </c>
      <c r="L728" s="2">
        <v>4901.12</v>
      </c>
      <c r="M728">
        <v>0.2</v>
      </c>
      <c r="N728" s="4">
        <v>2056.89</v>
      </c>
      <c r="O728" t="s">
        <v>39</v>
      </c>
      <c r="P728">
        <v>10</v>
      </c>
    </row>
    <row r="729" spans="1:16" x14ac:dyDescent="0.35">
      <c r="A729" t="s">
        <v>2017</v>
      </c>
      <c r="B729" s="10" t="s">
        <v>292</v>
      </c>
      <c r="C729" s="11" t="str">
        <f t="shared" si="11"/>
        <v>April</v>
      </c>
      <c r="D729" t="s">
        <v>374</v>
      </c>
      <c r="E729" t="s">
        <v>2018</v>
      </c>
      <c r="F729" t="s">
        <v>44</v>
      </c>
      <c r="G729" t="s">
        <v>28</v>
      </c>
      <c r="H729" t="s">
        <v>21</v>
      </c>
      <c r="I729" t="s">
        <v>38</v>
      </c>
      <c r="J729">
        <v>8</v>
      </c>
      <c r="K729" s="4">
        <v>843.07</v>
      </c>
      <c r="L729" s="2">
        <v>6744.56</v>
      </c>
      <c r="M729">
        <v>0</v>
      </c>
      <c r="N729" s="4">
        <v>3274.26</v>
      </c>
      <c r="O729" t="s">
        <v>31</v>
      </c>
      <c r="P729">
        <v>9</v>
      </c>
    </row>
    <row r="730" spans="1:16" x14ac:dyDescent="0.35">
      <c r="A730" t="s">
        <v>2019</v>
      </c>
      <c r="B730" s="10" t="s">
        <v>919</v>
      </c>
      <c r="C730" s="11" t="str">
        <f t="shared" si="11"/>
        <v>March</v>
      </c>
      <c r="D730" t="s">
        <v>957</v>
      </c>
      <c r="E730" t="s">
        <v>2020</v>
      </c>
      <c r="F730" t="s">
        <v>19</v>
      </c>
      <c r="G730" t="s">
        <v>28</v>
      </c>
      <c r="H730" t="s">
        <v>29</v>
      </c>
      <c r="I730" t="s">
        <v>100</v>
      </c>
      <c r="J730">
        <v>6</v>
      </c>
      <c r="K730" s="4">
        <v>1107.6500000000001</v>
      </c>
      <c r="L730" s="2">
        <v>6645.9</v>
      </c>
      <c r="M730">
        <v>0.3</v>
      </c>
      <c r="N730" s="4">
        <v>1336.17</v>
      </c>
      <c r="O730" t="s">
        <v>39</v>
      </c>
      <c r="P730">
        <v>6</v>
      </c>
    </row>
    <row r="731" spans="1:16" x14ac:dyDescent="0.35">
      <c r="A731" t="s">
        <v>2021</v>
      </c>
      <c r="B731" s="10" t="s">
        <v>2022</v>
      </c>
      <c r="C731" s="11" t="str">
        <f t="shared" si="11"/>
        <v>December</v>
      </c>
      <c r="D731" t="s">
        <v>879</v>
      </c>
      <c r="E731" t="s">
        <v>2023</v>
      </c>
      <c r="F731" t="s">
        <v>36</v>
      </c>
      <c r="G731" t="s">
        <v>37</v>
      </c>
      <c r="H731" t="s">
        <v>76</v>
      </c>
      <c r="I731" t="s">
        <v>119</v>
      </c>
      <c r="J731">
        <v>10</v>
      </c>
      <c r="K731" s="4">
        <v>264.51</v>
      </c>
      <c r="L731" s="2">
        <v>2645.1</v>
      </c>
      <c r="M731">
        <v>0.3</v>
      </c>
      <c r="N731" s="4">
        <v>463.44</v>
      </c>
      <c r="O731" t="s">
        <v>31</v>
      </c>
      <c r="P731">
        <v>3</v>
      </c>
    </row>
    <row r="732" spans="1:16" x14ac:dyDescent="0.35">
      <c r="A732" t="s">
        <v>2024</v>
      </c>
      <c r="B732" s="10" t="s">
        <v>1577</v>
      </c>
      <c r="C732" s="11" t="str">
        <f t="shared" si="11"/>
        <v>April</v>
      </c>
      <c r="D732" t="s">
        <v>1270</v>
      </c>
      <c r="E732" t="s">
        <v>2025</v>
      </c>
      <c r="F732" t="s">
        <v>36</v>
      </c>
      <c r="G732" t="s">
        <v>20</v>
      </c>
      <c r="H732" t="s">
        <v>21</v>
      </c>
      <c r="I732" t="s">
        <v>82</v>
      </c>
      <c r="J732">
        <v>2</v>
      </c>
      <c r="K732" s="4">
        <v>956.31</v>
      </c>
      <c r="L732" s="2">
        <v>1912.62</v>
      </c>
      <c r="M732">
        <v>0.15</v>
      </c>
      <c r="N732" s="4">
        <v>696.69</v>
      </c>
      <c r="O732" t="s">
        <v>39</v>
      </c>
      <c r="P732">
        <v>5</v>
      </c>
    </row>
    <row r="733" spans="1:16" x14ac:dyDescent="0.35">
      <c r="A733" t="s">
        <v>2026</v>
      </c>
      <c r="B733" s="10" t="s">
        <v>447</v>
      </c>
      <c r="C733" s="11" t="str">
        <f t="shared" si="11"/>
        <v>February</v>
      </c>
      <c r="D733" t="s">
        <v>245</v>
      </c>
      <c r="E733" t="s">
        <v>2027</v>
      </c>
      <c r="F733" t="s">
        <v>44</v>
      </c>
      <c r="G733" t="s">
        <v>20</v>
      </c>
      <c r="H733" t="s">
        <v>76</v>
      </c>
      <c r="I733" t="s">
        <v>119</v>
      </c>
      <c r="J733">
        <v>3</v>
      </c>
      <c r="K733" s="4">
        <v>996.98</v>
      </c>
      <c r="L733" s="2">
        <v>2990.94</v>
      </c>
      <c r="M733">
        <v>0.2</v>
      </c>
      <c r="N733" s="4">
        <v>1285.42</v>
      </c>
      <c r="O733" t="s">
        <v>23</v>
      </c>
      <c r="P733">
        <v>4</v>
      </c>
    </row>
    <row r="734" spans="1:16" x14ac:dyDescent="0.35">
      <c r="A734" t="s">
        <v>2028</v>
      </c>
      <c r="B734" s="10" t="s">
        <v>796</v>
      </c>
      <c r="C734" s="11" t="str">
        <f t="shared" si="11"/>
        <v>January</v>
      </c>
      <c r="D734" t="s">
        <v>553</v>
      </c>
      <c r="E734" t="s">
        <v>2029</v>
      </c>
      <c r="F734" t="s">
        <v>19</v>
      </c>
      <c r="G734" t="s">
        <v>57</v>
      </c>
      <c r="H734" t="s">
        <v>29</v>
      </c>
      <c r="I734" t="s">
        <v>100</v>
      </c>
      <c r="J734">
        <v>4</v>
      </c>
      <c r="K734" s="4">
        <v>593.91</v>
      </c>
      <c r="L734" s="2">
        <v>2375.64</v>
      </c>
      <c r="M734">
        <v>0.1</v>
      </c>
      <c r="N734" s="4">
        <v>504.68</v>
      </c>
      <c r="O734" t="s">
        <v>31</v>
      </c>
      <c r="P734">
        <v>9</v>
      </c>
    </row>
    <row r="735" spans="1:16" x14ac:dyDescent="0.35">
      <c r="A735" t="s">
        <v>2030</v>
      </c>
      <c r="B735" s="10" t="s">
        <v>1050</v>
      </c>
      <c r="C735" s="11" t="str">
        <f t="shared" si="11"/>
        <v>February</v>
      </c>
      <c r="D735" t="s">
        <v>813</v>
      </c>
      <c r="E735" t="s">
        <v>2031</v>
      </c>
      <c r="F735" t="s">
        <v>19</v>
      </c>
      <c r="G735" t="s">
        <v>20</v>
      </c>
      <c r="H735" t="s">
        <v>21</v>
      </c>
      <c r="I735" t="s">
        <v>22</v>
      </c>
      <c r="J735">
        <v>1</v>
      </c>
      <c r="K735" s="4">
        <v>1113.43</v>
      </c>
      <c r="L735" s="2">
        <v>1113.43</v>
      </c>
      <c r="M735">
        <v>0.15</v>
      </c>
      <c r="N735" s="4">
        <v>218.06</v>
      </c>
      <c r="O735" t="s">
        <v>23</v>
      </c>
      <c r="P735">
        <v>1</v>
      </c>
    </row>
    <row r="736" spans="1:16" x14ac:dyDescent="0.35">
      <c r="A736" t="s">
        <v>2032</v>
      </c>
      <c r="B736" s="10" t="s">
        <v>985</v>
      </c>
      <c r="C736" s="11" t="str">
        <f t="shared" si="11"/>
        <v>March</v>
      </c>
      <c r="D736" t="s">
        <v>42</v>
      </c>
      <c r="E736" t="s">
        <v>2033</v>
      </c>
      <c r="F736" t="s">
        <v>44</v>
      </c>
      <c r="G736" t="s">
        <v>28</v>
      </c>
      <c r="H736" t="s">
        <v>21</v>
      </c>
      <c r="I736" t="s">
        <v>22</v>
      </c>
      <c r="J736">
        <v>3</v>
      </c>
      <c r="K736" s="4">
        <v>763.31</v>
      </c>
      <c r="L736" s="2">
        <v>2289.9299999999998</v>
      </c>
      <c r="M736">
        <v>0.05</v>
      </c>
      <c r="N736" s="4">
        <v>403.77</v>
      </c>
      <c r="O736" t="s">
        <v>23</v>
      </c>
      <c r="P736">
        <v>8</v>
      </c>
    </row>
    <row r="737" spans="1:16" x14ac:dyDescent="0.35">
      <c r="A737" t="s">
        <v>2034</v>
      </c>
      <c r="B737" s="10" t="s">
        <v>221</v>
      </c>
      <c r="C737" s="11" t="str">
        <f t="shared" si="11"/>
        <v>March</v>
      </c>
      <c r="D737" t="s">
        <v>859</v>
      </c>
      <c r="E737" t="s">
        <v>2035</v>
      </c>
      <c r="F737" t="s">
        <v>44</v>
      </c>
      <c r="G737" t="s">
        <v>28</v>
      </c>
      <c r="H737" t="s">
        <v>21</v>
      </c>
      <c r="I737" t="s">
        <v>22</v>
      </c>
      <c r="J737">
        <v>3</v>
      </c>
      <c r="K737" s="4">
        <v>783.57</v>
      </c>
      <c r="L737" s="2">
        <v>2350.71</v>
      </c>
      <c r="M737">
        <v>0.1</v>
      </c>
      <c r="N737" s="4">
        <v>470.38</v>
      </c>
      <c r="O737" t="s">
        <v>31</v>
      </c>
      <c r="P737">
        <v>4</v>
      </c>
    </row>
    <row r="738" spans="1:16" x14ac:dyDescent="0.35">
      <c r="A738" t="s">
        <v>2036</v>
      </c>
      <c r="B738" s="10" t="s">
        <v>1816</v>
      </c>
      <c r="C738" s="11" t="str">
        <f t="shared" si="11"/>
        <v>August</v>
      </c>
      <c r="D738" t="s">
        <v>870</v>
      </c>
      <c r="E738" t="s">
        <v>2037</v>
      </c>
      <c r="F738" t="s">
        <v>19</v>
      </c>
      <c r="G738" t="s">
        <v>37</v>
      </c>
      <c r="H738" t="s">
        <v>76</v>
      </c>
      <c r="I738" t="s">
        <v>87</v>
      </c>
      <c r="J738">
        <v>5</v>
      </c>
      <c r="K738" s="4">
        <v>615.92999999999995</v>
      </c>
      <c r="L738" s="2">
        <v>3079.65</v>
      </c>
      <c r="M738">
        <v>0</v>
      </c>
      <c r="N738" s="4">
        <v>1366.11</v>
      </c>
      <c r="O738" t="s">
        <v>31</v>
      </c>
      <c r="P738">
        <v>9</v>
      </c>
    </row>
    <row r="739" spans="1:16" x14ac:dyDescent="0.35">
      <c r="A739" t="s">
        <v>2038</v>
      </c>
      <c r="B739" s="10" t="s">
        <v>722</v>
      </c>
      <c r="C739" s="11" t="str">
        <f t="shared" si="11"/>
        <v>August</v>
      </c>
      <c r="D739" t="s">
        <v>103</v>
      </c>
      <c r="E739" t="s">
        <v>2039</v>
      </c>
      <c r="F739" t="s">
        <v>19</v>
      </c>
      <c r="G739" t="s">
        <v>57</v>
      </c>
      <c r="H739" t="s">
        <v>76</v>
      </c>
      <c r="I739" t="s">
        <v>119</v>
      </c>
      <c r="J739">
        <v>3</v>
      </c>
      <c r="K739" s="4">
        <v>966.09</v>
      </c>
      <c r="L739" s="2">
        <v>2898.27</v>
      </c>
      <c r="M739">
        <v>0.15</v>
      </c>
      <c r="N739" s="4">
        <v>450.31</v>
      </c>
      <c r="O739" t="s">
        <v>31</v>
      </c>
      <c r="P739">
        <v>8</v>
      </c>
    </row>
    <row r="740" spans="1:16" x14ac:dyDescent="0.35">
      <c r="A740" t="s">
        <v>2040</v>
      </c>
      <c r="B740" s="10" t="s">
        <v>1349</v>
      </c>
      <c r="C740" s="11" t="str">
        <f t="shared" si="11"/>
        <v>July</v>
      </c>
      <c r="D740" t="s">
        <v>553</v>
      </c>
      <c r="E740" t="s">
        <v>2041</v>
      </c>
      <c r="F740" t="s">
        <v>36</v>
      </c>
      <c r="G740" t="s">
        <v>28</v>
      </c>
      <c r="H740" t="s">
        <v>29</v>
      </c>
      <c r="I740" t="s">
        <v>30</v>
      </c>
      <c r="J740">
        <v>9</v>
      </c>
      <c r="K740" s="4">
        <v>1133.5</v>
      </c>
      <c r="L740" s="2">
        <v>10201.5</v>
      </c>
      <c r="M740">
        <v>0</v>
      </c>
      <c r="N740" s="4">
        <v>4230.34</v>
      </c>
      <c r="O740" t="s">
        <v>31</v>
      </c>
      <c r="P740">
        <v>7</v>
      </c>
    </row>
    <row r="741" spans="1:16" x14ac:dyDescent="0.35">
      <c r="A741" t="s">
        <v>2042</v>
      </c>
      <c r="B741" s="10" t="s">
        <v>1320</v>
      </c>
      <c r="C741" s="11" t="str">
        <f t="shared" si="11"/>
        <v>December</v>
      </c>
      <c r="D741" t="s">
        <v>451</v>
      </c>
      <c r="E741" t="s">
        <v>2043</v>
      </c>
      <c r="F741" t="s">
        <v>44</v>
      </c>
      <c r="G741" t="s">
        <v>28</v>
      </c>
      <c r="H741" t="s">
        <v>29</v>
      </c>
      <c r="I741" t="s">
        <v>62</v>
      </c>
      <c r="J741">
        <v>3</v>
      </c>
      <c r="K741" s="4">
        <v>1084.96</v>
      </c>
      <c r="L741" s="2">
        <v>3254.88</v>
      </c>
      <c r="M741">
        <v>0</v>
      </c>
      <c r="N741" s="4">
        <v>517.22</v>
      </c>
      <c r="O741" t="s">
        <v>39</v>
      </c>
      <c r="P741">
        <v>9</v>
      </c>
    </row>
    <row r="742" spans="1:16" x14ac:dyDescent="0.35">
      <c r="A742" t="s">
        <v>2044</v>
      </c>
      <c r="B742" s="10" t="s">
        <v>556</v>
      </c>
      <c r="C742" s="11" t="str">
        <f t="shared" si="11"/>
        <v>November</v>
      </c>
      <c r="D742" t="s">
        <v>218</v>
      </c>
      <c r="E742" t="s">
        <v>2045</v>
      </c>
      <c r="F742" t="s">
        <v>19</v>
      </c>
      <c r="G742" t="s">
        <v>28</v>
      </c>
      <c r="H742" t="s">
        <v>76</v>
      </c>
      <c r="I742" t="s">
        <v>87</v>
      </c>
      <c r="J742">
        <v>6</v>
      </c>
      <c r="K742" s="4">
        <v>29.32</v>
      </c>
      <c r="L742" s="2">
        <v>175.92</v>
      </c>
      <c r="M742">
        <v>0.1</v>
      </c>
      <c r="N742" s="4">
        <v>30.07</v>
      </c>
      <c r="O742" t="s">
        <v>39</v>
      </c>
      <c r="P742">
        <v>4</v>
      </c>
    </row>
    <row r="743" spans="1:16" x14ac:dyDescent="0.35">
      <c r="A743" t="s">
        <v>2046</v>
      </c>
      <c r="B743" s="10" t="s">
        <v>818</v>
      </c>
      <c r="C743" s="11" t="str">
        <f t="shared" si="11"/>
        <v>November</v>
      </c>
      <c r="D743" t="s">
        <v>1204</v>
      </c>
      <c r="E743" t="s">
        <v>2047</v>
      </c>
      <c r="F743" t="s">
        <v>36</v>
      </c>
      <c r="G743" t="s">
        <v>57</v>
      </c>
      <c r="H743" t="s">
        <v>21</v>
      </c>
      <c r="I743" t="s">
        <v>71</v>
      </c>
      <c r="J743">
        <v>10</v>
      </c>
      <c r="K743" s="4">
        <v>789.4</v>
      </c>
      <c r="L743" s="2">
        <v>7894</v>
      </c>
      <c r="M743">
        <v>0.3</v>
      </c>
      <c r="N743" s="4">
        <v>2276.08</v>
      </c>
      <c r="O743" t="s">
        <v>31</v>
      </c>
      <c r="P743">
        <v>1</v>
      </c>
    </row>
    <row r="744" spans="1:16" x14ac:dyDescent="0.35">
      <c r="A744" t="s">
        <v>2048</v>
      </c>
      <c r="B744" s="10" t="s">
        <v>230</v>
      </c>
      <c r="C744" s="11" t="str">
        <f t="shared" si="11"/>
        <v>September</v>
      </c>
      <c r="D744" t="s">
        <v>113</v>
      </c>
      <c r="E744" t="s">
        <v>2049</v>
      </c>
      <c r="F744" t="s">
        <v>44</v>
      </c>
      <c r="G744" t="s">
        <v>37</v>
      </c>
      <c r="H744" t="s">
        <v>21</v>
      </c>
      <c r="I744" t="s">
        <v>38</v>
      </c>
      <c r="J744">
        <v>7</v>
      </c>
      <c r="K744" s="4">
        <v>875.62</v>
      </c>
      <c r="L744" s="2">
        <v>6129.34</v>
      </c>
      <c r="M744">
        <v>0.3</v>
      </c>
      <c r="N744" s="4">
        <v>849.74</v>
      </c>
      <c r="O744" t="s">
        <v>31</v>
      </c>
      <c r="P744">
        <v>9</v>
      </c>
    </row>
    <row r="745" spans="1:16" x14ac:dyDescent="0.35">
      <c r="A745" t="s">
        <v>2050</v>
      </c>
      <c r="B745" s="10" t="s">
        <v>1887</v>
      </c>
      <c r="C745" s="11" t="str">
        <f t="shared" si="11"/>
        <v>January</v>
      </c>
      <c r="D745" t="s">
        <v>113</v>
      </c>
      <c r="E745" t="s">
        <v>2051</v>
      </c>
      <c r="F745" t="s">
        <v>19</v>
      </c>
      <c r="G745" t="s">
        <v>57</v>
      </c>
      <c r="H745" t="s">
        <v>21</v>
      </c>
      <c r="I745" t="s">
        <v>38</v>
      </c>
      <c r="J745">
        <v>9</v>
      </c>
      <c r="K745" s="4">
        <v>422.04</v>
      </c>
      <c r="L745" s="2">
        <v>3798.36</v>
      </c>
      <c r="M745">
        <v>0.3</v>
      </c>
      <c r="N745" s="4">
        <v>1292.17</v>
      </c>
      <c r="O745" t="s">
        <v>31</v>
      </c>
      <c r="P745">
        <v>5</v>
      </c>
    </row>
    <row r="746" spans="1:16" x14ac:dyDescent="0.35">
      <c r="A746" t="s">
        <v>2052</v>
      </c>
      <c r="B746" s="10" t="s">
        <v>979</v>
      </c>
      <c r="C746" s="11" t="str">
        <f t="shared" si="11"/>
        <v>May</v>
      </c>
      <c r="D746" t="s">
        <v>378</v>
      </c>
      <c r="E746" t="s">
        <v>2053</v>
      </c>
      <c r="F746" t="s">
        <v>19</v>
      </c>
      <c r="G746" t="s">
        <v>57</v>
      </c>
      <c r="H746" t="s">
        <v>21</v>
      </c>
      <c r="I746" t="s">
        <v>82</v>
      </c>
      <c r="J746">
        <v>9</v>
      </c>
      <c r="K746" s="4">
        <v>150.32</v>
      </c>
      <c r="L746" s="2">
        <v>1352.88</v>
      </c>
      <c r="M746">
        <v>0</v>
      </c>
      <c r="N746" s="4">
        <v>288.66000000000003</v>
      </c>
      <c r="O746" t="s">
        <v>31</v>
      </c>
      <c r="P746">
        <v>1</v>
      </c>
    </row>
    <row r="747" spans="1:16" x14ac:dyDescent="0.35">
      <c r="A747" t="s">
        <v>2054</v>
      </c>
      <c r="B747" s="10" t="s">
        <v>2055</v>
      </c>
      <c r="C747" s="11" t="str">
        <f t="shared" si="11"/>
        <v>June</v>
      </c>
      <c r="D747" t="s">
        <v>444</v>
      </c>
      <c r="E747" t="s">
        <v>2056</v>
      </c>
      <c r="F747" t="s">
        <v>19</v>
      </c>
      <c r="G747" t="s">
        <v>37</v>
      </c>
      <c r="H747" t="s">
        <v>21</v>
      </c>
      <c r="I747" t="s">
        <v>22</v>
      </c>
      <c r="J747">
        <v>8</v>
      </c>
      <c r="K747" s="4">
        <v>371.59</v>
      </c>
      <c r="L747" s="2">
        <v>2972.72</v>
      </c>
      <c r="M747">
        <v>0.3</v>
      </c>
      <c r="N747" s="4">
        <v>1140.1600000000001</v>
      </c>
      <c r="O747" t="s">
        <v>39</v>
      </c>
      <c r="P747">
        <v>5</v>
      </c>
    </row>
    <row r="748" spans="1:16" x14ac:dyDescent="0.35">
      <c r="A748" t="s">
        <v>2057</v>
      </c>
      <c r="B748" s="10" t="s">
        <v>1174</v>
      </c>
      <c r="C748" s="11" t="str">
        <f t="shared" si="11"/>
        <v>February</v>
      </c>
      <c r="D748" t="s">
        <v>420</v>
      </c>
      <c r="E748" t="s">
        <v>2058</v>
      </c>
      <c r="F748" t="s">
        <v>19</v>
      </c>
      <c r="G748" t="s">
        <v>37</v>
      </c>
      <c r="H748" t="s">
        <v>76</v>
      </c>
      <c r="I748" t="s">
        <v>177</v>
      </c>
      <c r="J748">
        <v>3</v>
      </c>
      <c r="K748" s="4">
        <v>862.93</v>
      </c>
      <c r="L748" s="2">
        <v>2588.79</v>
      </c>
      <c r="M748">
        <v>0.2</v>
      </c>
      <c r="N748" s="4">
        <v>528.1</v>
      </c>
      <c r="O748" t="s">
        <v>39</v>
      </c>
      <c r="P748">
        <v>8</v>
      </c>
    </row>
    <row r="749" spans="1:16" x14ac:dyDescent="0.35">
      <c r="A749" t="s">
        <v>2059</v>
      </c>
      <c r="B749" s="10" t="s">
        <v>1657</v>
      </c>
      <c r="C749" s="11" t="str">
        <f t="shared" si="11"/>
        <v>August</v>
      </c>
      <c r="D749" t="s">
        <v>1007</v>
      </c>
      <c r="E749" t="s">
        <v>2060</v>
      </c>
      <c r="F749" t="s">
        <v>44</v>
      </c>
      <c r="G749" t="s">
        <v>37</v>
      </c>
      <c r="H749" t="s">
        <v>29</v>
      </c>
      <c r="I749" t="s">
        <v>224</v>
      </c>
      <c r="J749">
        <v>7</v>
      </c>
      <c r="K749" s="4">
        <v>997.56</v>
      </c>
      <c r="L749" s="2">
        <v>6982.92</v>
      </c>
      <c r="M749">
        <v>0</v>
      </c>
      <c r="N749" s="4">
        <v>3582.94</v>
      </c>
      <c r="O749" t="s">
        <v>39</v>
      </c>
      <c r="P749">
        <v>2</v>
      </c>
    </row>
    <row r="750" spans="1:16" x14ac:dyDescent="0.35">
      <c r="A750" t="s">
        <v>2061</v>
      </c>
      <c r="B750" s="10" t="s">
        <v>2062</v>
      </c>
      <c r="C750" s="11" t="str">
        <f t="shared" si="11"/>
        <v>May</v>
      </c>
      <c r="D750" t="s">
        <v>681</v>
      </c>
      <c r="E750" t="s">
        <v>2063</v>
      </c>
      <c r="F750" t="s">
        <v>44</v>
      </c>
      <c r="G750" t="s">
        <v>28</v>
      </c>
      <c r="H750" t="s">
        <v>76</v>
      </c>
      <c r="I750" t="s">
        <v>177</v>
      </c>
      <c r="J750">
        <v>7</v>
      </c>
      <c r="K750" s="4">
        <v>714.12</v>
      </c>
      <c r="L750" s="2">
        <v>4998.84</v>
      </c>
      <c r="M750">
        <v>0.2</v>
      </c>
      <c r="N750" s="4">
        <v>953.66</v>
      </c>
      <c r="O750" t="s">
        <v>39</v>
      </c>
      <c r="P750">
        <v>8</v>
      </c>
    </row>
    <row r="751" spans="1:16" x14ac:dyDescent="0.35">
      <c r="A751" t="s">
        <v>2064</v>
      </c>
      <c r="B751" s="10" t="s">
        <v>722</v>
      </c>
      <c r="C751" s="11" t="str">
        <f t="shared" si="11"/>
        <v>August</v>
      </c>
      <c r="D751" t="s">
        <v>1007</v>
      </c>
      <c r="E751" t="s">
        <v>2065</v>
      </c>
      <c r="F751" t="s">
        <v>19</v>
      </c>
      <c r="G751" t="s">
        <v>20</v>
      </c>
      <c r="H751" t="s">
        <v>21</v>
      </c>
      <c r="I751" t="s">
        <v>82</v>
      </c>
      <c r="J751">
        <v>3</v>
      </c>
      <c r="K751" s="4">
        <v>190.33</v>
      </c>
      <c r="L751" s="2">
        <v>570.99</v>
      </c>
      <c r="M751">
        <v>0.05</v>
      </c>
      <c r="N751" s="4">
        <v>193.16</v>
      </c>
      <c r="O751" t="s">
        <v>23</v>
      </c>
      <c r="P751">
        <v>4</v>
      </c>
    </row>
    <row r="752" spans="1:16" x14ac:dyDescent="0.35">
      <c r="A752" t="s">
        <v>2066</v>
      </c>
      <c r="B752" s="10" t="s">
        <v>352</v>
      </c>
      <c r="C752" s="11" t="str">
        <f t="shared" si="11"/>
        <v>March</v>
      </c>
      <c r="D752" t="s">
        <v>602</v>
      </c>
      <c r="E752" t="s">
        <v>2067</v>
      </c>
      <c r="F752" t="s">
        <v>44</v>
      </c>
      <c r="G752" t="s">
        <v>20</v>
      </c>
      <c r="H752" t="s">
        <v>76</v>
      </c>
      <c r="I752" t="s">
        <v>128</v>
      </c>
      <c r="J752">
        <v>1</v>
      </c>
      <c r="K752" s="4">
        <v>900.87</v>
      </c>
      <c r="L752" s="2">
        <v>900.87</v>
      </c>
      <c r="M752">
        <v>0.2</v>
      </c>
      <c r="N752" s="4">
        <v>289.91000000000003</v>
      </c>
      <c r="O752" t="s">
        <v>31</v>
      </c>
      <c r="P752">
        <v>6</v>
      </c>
    </row>
    <row r="753" spans="1:16" x14ac:dyDescent="0.35">
      <c r="A753" t="s">
        <v>2068</v>
      </c>
      <c r="B753" s="10" t="s">
        <v>384</v>
      </c>
      <c r="C753" s="11" t="str">
        <f t="shared" si="11"/>
        <v>July</v>
      </c>
      <c r="D753" t="s">
        <v>395</v>
      </c>
      <c r="E753" t="s">
        <v>2069</v>
      </c>
      <c r="F753" t="s">
        <v>44</v>
      </c>
      <c r="G753" t="s">
        <v>28</v>
      </c>
      <c r="H753" t="s">
        <v>21</v>
      </c>
      <c r="I753" t="s">
        <v>38</v>
      </c>
      <c r="J753">
        <v>1</v>
      </c>
      <c r="K753" s="4">
        <v>636.88</v>
      </c>
      <c r="L753" s="2">
        <v>636.88</v>
      </c>
      <c r="M753">
        <v>0</v>
      </c>
      <c r="N753" s="4">
        <v>255.65</v>
      </c>
      <c r="O753" t="s">
        <v>31</v>
      </c>
      <c r="P753">
        <v>3</v>
      </c>
    </row>
    <row r="754" spans="1:16" x14ac:dyDescent="0.35">
      <c r="A754" t="s">
        <v>2070</v>
      </c>
      <c r="B754" s="10" t="s">
        <v>577</v>
      </c>
      <c r="C754" s="11" t="str">
        <f t="shared" si="11"/>
        <v>April</v>
      </c>
      <c r="D754" t="s">
        <v>1138</v>
      </c>
      <c r="E754" t="s">
        <v>2071</v>
      </c>
      <c r="F754" t="s">
        <v>19</v>
      </c>
      <c r="G754" t="s">
        <v>28</v>
      </c>
      <c r="H754" t="s">
        <v>29</v>
      </c>
      <c r="I754" t="s">
        <v>100</v>
      </c>
      <c r="J754">
        <v>7</v>
      </c>
      <c r="K754" s="4">
        <v>77.41</v>
      </c>
      <c r="L754" s="2">
        <v>541.87</v>
      </c>
      <c r="M754">
        <v>0.1</v>
      </c>
      <c r="N754" s="4">
        <v>94.79</v>
      </c>
      <c r="O754" t="s">
        <v>31</v>
      </c>
      <c r="P754">
        <v>2</v>
      </c>
    </row>
    <row r="755" spans="1:16" x14ac:dyDescent="0.35">
      <c r="A755" t="s">
        <v>2072</v>
      </c>
      <c r="B755" s="10" t="s">
        <v>405</v>
      </c>
      <c r="C755" s="11" t="str">
        <f t="shared" si="11"/>
        <v>June</v>
      </c>
      <c r="D755" t="s">
        <v>307</v>
      </c>
      <c r="E755" t="s">
        <v>2073</v>
      </c>
      <c r="F755" t="s">
        <v>44</v>
      </c>
      <c r="G755" t="s">
        <v>57</v>
      </c>
      <c r="H755" t="s">
        <v>21</v>
      </c>
      <c r="I755" t="s">
        <v>38</v>
      </c>
      <c r="J755">
        <v>2</v>
      </c>
      <c r="K755" s="4">
        <v>1047.0999999999999</v>
      </c>
      <c r="L755" s="2">
        <v>2094.1999999999998</v>
      </c>
      <c r="M755">
        <v>0.15</v>
      </c>
      <c r="N755" s="4">
        <v>636.42999999999995</v>
      </c>
      <c r="O755" t="s">
        <v>39</v>
      </c>
      <c r="P755">
        <v>8</v>
      </c>
    </row>
    <row r="756" spans="1:16" x14ac:dyDescent="0.35">
      <c r="A756" t="s">
        <v>2074</v>
      </c>
      <c r="B756" s="10" t="s">
        <v>317</v>
      </c>
      <c r="C756" s="11" t="str">
        <f t="shared" si="11"/>
        <v>August</v>
      </c>
      <c r="D756" t="s">
        <v>472</v>
      </c>
      <c r="E756" t="s">
        <v>2075</v>
      </c>
      <c r="F756" t="s">
        <v>44</v>
      </c>
      <c r="G756" t="s">
        <v>37</v>
      </c>
      <c r="H756" t="s">
        <v>21</v>
      </c>
      <c r="I756" t="s">
        <v>71</v>
      </c>
      <c r="J756">
        <v>3</v>
      </c>
      <c r="K756" s="4">
        <v>919.1</v>
      </c>
      <c r="L756" s="2">
        <v>2757.3</v>
      </c>
      <c r="M756">
        <v>0.2</v>
      </c>
      <c r="N756" s="4">
        <v>651.64</v>
      </c>
      <c r="O756" t="s">
        <v>23</v>
      </c>
      <c r="P756">
        <v>6</v>
      </c>
    </row>
    <row r="757" spans="1:16" x14ac:dyDescent="0.35">
      <c r="A757" t="s">
        <v>2076</v>
      </c>
      <c r="B757" s="10" t="s">
        <v>2055</v>
      </c>
      <c r="C757" s="11" t="str">
        <f t="shared" si="11"/>
        <v>June</v>
      </c>
      <c r="D757" t="s">
        <v>113</v>
      </c>
      <c r="E757" t="s">
        <v>2077</v>
      </c>
      <c r="F757" t="s">
        <v>36</v>
      </c>
      <c r="G757" t="s">
        <v>28</v>
      </c>
      <c r="H757" t="s">
        <v>29</v>
      </c>
      <c r="I757" t="s">
        <v>100</v>
      </c>
      <c r="J757">
        <v>10</v>
      </c>
      <c r="K757" s="4">
        <v>503.36</v>
      </c>
      <c r="L757" s="2">
        <v>5033.6000000000004</v>
      </c>
      <c r="M757">
        <v>0.05</v>
      </c>
      <c r="N757" s="4">
        <v>908.1</v>
      </c>
      <c r="O757" t="s">
        <v>23</v>
      </c>
      <c r="P757">
        <v>5</v>
      </c>
    </row>
    <row r="758" spans="1:16" x14ac:dyDescent="0.35">
      <c r="A758" t="s">
        <v>2078</v>
      </c>
      <c r="B758" s="10" t="s">
        <v>1471</v>
      </c>
      <c r="C758" s="11" t="str">
        <f t="shared" si="11"/>
        <v>December</v>
      </c>
      <c r="D758" t="s">
        <v>972</v>
      </c>
      <c r="E758" t="s">
        <v>2079</v>
      </c>
      <c r="F758" t="s">
        <v>19</v>
      </c>
      <c r="G758" t="s">
        <v>20</v>
      </c>
      <c r="H758" t="s">
        <v>21</v>
      </c>
      <c r="I758" t="s">
        <v>22</v>
      </c>
      <c r="J758">
        <v>3</v>
      </c>
      <c r="K758" s="4">
        <v>854.51</v>
      </c>
      <c r="L758" s="2">
        <v>2563.5300000000002</v>
      </c>
      <c r="M758">
        <v>0.2</v>
      </c>
      <c r="N758" s="4">
        <v>611.05999999999995</v>
      </c>
      <c r="O758" t="s">
        <v>23</v>
      </c>
      <c r="P758">
        <v>9</v>
      </c>
    </row>
    <row r="759" spans="1:16" x14ac:dyDescent="0.35">
      <c r="A759" t="s">
        <v>2080</v>
      </c>
      <c r="B759" s="10" t="s">
        <v>310</v>
      </c>
      <c r="C759" s="11" t="str">
        <f t="shared" si="11"/>
        <v>September</v>
      </c>
      <c r="D759" t="s">
        <v>1604</v>
      </c>
      <c r="E759" t="s">
        <v>2081</v>
      </c>
      <c r="F759" t="s">
        <v>44</v>
      </c>
      <c r="G759" t="s">
        <v>20</v>
      </c>
      <c r="H759" t="s">
        <v>29</v>
      </c>
      <c r="I759" t="s">
        <v>224</v>
      </c>
      <c r="J759">
        <v>10</v>
      </c>
      <c r="K759" s="4">
        <v>659.36</v>
      </c>
      <c r="L759" s="2">
        <v>6593.6</v>
      </c>
      <c r="M759">
        <v>0</v>
      </c>
      <c r="N759" s="4">
        <v>1101.68</v>
      </c>
      <c r="O759" t="s">
        <v>31</v>
      </c>
      <c r="P759">
        <v>9</v>
      </c>
    </row>
    <row r="760" spans="1:16" x14ac:dyDescent="0.35">
      <c r="A760" t="s">
        <v>2082</v>
      </c>
      <c r="B760" s="10" t="s">
        <v>2083</v>
      </c>
      <c r="C760" s="11" t="str">
        <f t="shared" si="11"/>
        <v>October</v>
      </c>
      <c r="D760" t="s">
        <v>1792</v>
      </c>
      <c r="E760" t="s">
        <v>2084</v>
      </c>
      <c r="F760" t="s">
        <v>36</v>
      </c>
      <c r="G760" t="s">
        <v>57</v>
      </c>
      <c r="H760" t="s">
        <v>29</v>
      </c>
      <c r="I760" t="s">
        <v>30</v>
      </c>
      <c r="J760">
        <v>5</v>
      </c>
      <c r="K760" s="4">
        <v>948.37</v>
      </c>
      <c r="L760" s="2">
        <v>4741.8500000000004</v>
      </c>
      <c r="M760">
        <v>0.05</v>
      </c>
      <c r="N760" s="4">
        <v>982.59</v>
      </c>
      <c r="O760" t="s">
        <v>39</v>
      </c>
      <c r="P760">
        <v>10</v>
      </c>
    </row>
    <row r="761" spans="1:16" x14ac:dyDescent="0.35">
      <c r="A761" t="s">
        <v>2085</v>
      </c>
      <c r="B761" s="10" t="s">
        <v>1681</v>
      </c>
      <c r="C761" s="11" t="str">
        <f t="shared" si="11"/>
        <v>September</v>
      </c>
      <c r="D761" t="s">
        <v>1059</v>
      </c>
      <c r="E761" t="s">
        <v>2086</v>
      </c>
      <c r="F761" t="s">
        <v>44</v>
      </c>
      <c r="G761" t="s">
        <v>57</v>
      </c>
      <c r="H761" t="s">
        <v>29</v>
      </c>
      <c r="I761" t="s">
        <v>45</v>
      </c>
      <c r="J761">
        <v>1</v>
      </c>
      <c r="K761" s="4">
        <v>421.15</v>
      </c>
      <c r="L761" s="2">
        <v>421.15</v>
      </c>
      <c r="M761">
        <v>0.05</v>
      </c>
      <c r="N761" s="4">
        <v>153.65</v>
      </c>
      <c r="O761" t="s">
        <v>31</v>
      </c>
      <c r="P761">
        <v>2</v>
      </c>
    </row>
    <row r="762" spans="1:16" x14ac:dyDescent="0.35">
      <c r="A762" t="s">
        <v>2087</v>
      </c>
      <c r="B762" s="10" t="s">
        <v>2088</v>
      </c>
      <c r="C762" s="11" t="str">
        <f t="shared" si="11"/>
        <v>February</v>
      </c>
      <c r="D762" t="s">
        <v>839</v>
      </c>
      <c r="E762" t="s">
        <v>2089</v>
      </c>
      <c r="F762" t="s">
        <v>44</v>
      </c>
      <c r="G762" t="s">
        <v>28</v>
      </c>
      <c r="H762" t="s">
        <v>29</v>
      </c>
      <c r="I762" t="s">
        <v>100</v>
      </c>
      <c r="J762">
        <v>3</v>
      </c>
      <c r="K762" s="4">
        <v>356.72</v>
      </c>
      <c r="L762" s="2">
        <v>1070.1600000000001</v>
      </c>
      <c r="M762">
        <v>0.05</v>
      </c>
      <c r="N762" s="4">
        <v>455.23</v>
      </c>
      <c r="O762" t="s">
        <v>23</v>
      </c>
      <c r="P762">
        <v>3</v>
      </c>
    </row>
    <row r="763" spans="1:16" x14ac:dyDescent="0.35">
      <c r="A763" t="s">
        <v>2090</v>
      </c>
      <c r="B763" s="10" t="s">
        <v>244</v>
      </c>
      <c r="C763" s="11" t="str">
        <f t="shared" si="11"/>
        <v>July</v>
      </c>
      <c r="D763" t="s">
        <v>126</v>
      </c>
      <c r="E763" t="s">
        <v>2091</v>
      </c>
      <c r="F763" t="s">
        <v>44</v>
      </c>
      <c r="G763" t="s">
        <v>37</v>
      </c>
      <c r="H763" t="s">
        <v>29</v>
      </c>
      <c r="I763" t="s">
        <v>100</v>
      </c>
      <c r="J763">
        <v>6</v>
      </c>
      <c r="K763" s="4">
        <v>234.12</v>
      </c>
      <c r="L763" s="2">
        <v>1404.72</v>
      </c>
      <c r="M763">
        <v>0.3</v>
      </c>
      <c r="N763" s="4">
        <v>517.80999999999995</v>
      </c>
      <c r="O763" t="s">
        <v>39</v>
      </c>
      <c r="P763">
        <v>6</v>
      </c>
    </row>
    <row r="764" spans="1:16" x14ac:dyDescent="0.35">
      <c r="A764" t="s">
        <v>2092</v>
      </c>
      <c r="B764" s="10" t="s">
        <v>705</v>
      </c>
      <c r="C764" s="11" t="str">
        <f t="shared" si="11"/>
        <v>October</v>
      </c>
      <c r="D764" t="s">
        <v>444</v>
      </c>
      <c r="E764" t="s">
        <v>357</v>
      </c>
      <c r="F764" t="s">
        <v>44</v>
      </c>
      <c r="G764" t="s">
        <v>28</v>
      </c>
      <c r="H764" t="s">
        <v>76</v>
      </c>
      <c r="I764" t="s">
        <v>128</v>
      </c>
      <c r="J764">
        <v>2</v>
      </c>
      <c r="K764" s="4">
        <v>81.22</v>
      </c>
      <c r="L764" s="2">
        <v>162.44</v>
      </c>
      <c r="M764">
        <v>0.05</v>
      </c>
      <c r="N764" s="4">
        <v>38.450000000000003</v>
      </c>
      <c r="O764" t="s">
        <v>31</v>
      </c>
      <c r="P764">
        <v>5</v>
      </c>
    </row>
    <row r="765" spans="1:16" x14ac:dyDescent="0.35">
      <c r="A765" t="s">
        <v>2093</v>
      </c>
      <c r="B765" s="10" t="s">
        <v>2094</v>
      </c>
      <c r="C765" s="11" t="str">
        <f t="shared" si="11"/>
        <v>July</v>
      </c>
      <c r="D765" t="s">
        <v>159</v>
      </c>
      <c r="E765" t="s">
        <v>2095</v>
      </c>
      <c r="F765" t="s">
        <v>36</v>
      </c>
      <c r="G765" t="s">
        <v>20</v>
      </c>
      <c r="H765" t="s">
        <v>29</v>
      </c>
      <c r="I765" t="s">
        <v>110</v>
      </c>
      <c r="J765">
        <v>8</v>
      </c>
      <c r="K765" s="4">
        <v>672.68</v>
      </c>
      <c r="L765" s="2">
        <v>5381.44</v>
      </c>
      <c r="M765">
        <v>0</v>
      </c>
      <c r="N765" s="4">
        <v>1917.58</v>
      </c>
      <c r="O765" t="s">
        <v>39</v>
      </c>
      <c r="P765">
        <v>9</v>
      </c>
    </row>
    <row r="766" spans="1:16" x14ac:dyDescent="0.35">
      <c r="A766" t="s">
        <v>2096</v>
      </c>
      <c r="B766" s="10" t="s">
        <v>2097</v>
      </c>
      <c r="C766" s="11" t="str">
        <f t="shared" si="11"/>
        <v>June</v>
      </c>
      <c r="D766" t="s">
        <v>94</v>
      </c>
      <c r="E766" t="s">
        <v>2098</v>
      </c>
      <c r="F766" t="s">
        <v>44</v>
      </c>
      <c r="G766" t="s">
        <v>28</v>
      </c>
      <c r="H766" t="s">
        <v>21</v>
      </c>
      <c r="I766" t="s">
        <v>22</v>
      </c>
      <c r="J766">
        <v>4</v>
      </c>
      <c r="K766" s="4">
        <v>920.31</v>
      </c>
      <c r="L766" s="2">
        <v>3681.24</v>
      </c>
      <c r="M766">
        <v>0.3</v>
      </c>
      <c r="N766" s="4">
        <v>607.91999999999996</v>
      </c>
      <c r="O766" t="s">
        <v>31</v>
      </c>
      <c r="P766">
        <v>9</v>
      </c>
    </row>
    <row r="767" spans="1:16" x14ac:dyDescent="0.35">
      <c r="A767" t="s">
        <v>2099</v>
      </c>
      <c r="B767" s="10" t="s">
        <v>194</v>
      </c>
      <c r="C767" s="11" t="str">
        <f t="shared" si="11"/>
        <v>October</v>
      </c>
      <c r="D767" t="s">
        <v>74</v>
      </c>
      <c r="E767" t="s">
        <v>2100</v>
      </c>
      <c r="F767" t="s">
        <v>19</v>
      </c>
      <c r="G767" t="s">
        <v>28</v>
      </c>
      <c r="H767" t="s">
        <v>29</v>
      </c>
      <c r="I767" t="s">
        <v>224</v>
      </c>
      <c r="J767">
        <v>6</v>
      </c>
      <c r="K767" s="4">
        <v>657.72</v>
      </c>
      <c r="L767" s="2">
        <v>3946.32</v>
      </c>
      <c r="M767">
        <v>0.05</v>
      </c>
      <c r="N767" s="4">
        <v>889.23</v>
      </c>
      <c r="O767" t="s">
        <v>31</v>
      </c>
      <c r="P767">
        <v>1</v>
      </c>
    </row>
    <row r="768" spans="1:16" x14ac:dyDescent="0.35">
      <c r="A768" t="s">
        <v>2101</v>
      </c>
      <c r="B768" s="10" t="s">
        <v>475</v>
      </c>
      <c r="C768" s="11" t="str">
        <f t="shared" si="11"/>
        <v>September</v>
      </c>
      <c r="D768" t="s">
        <v>566</v>
      </c>
      <c r="E768" t="s">
        <v>2102</v>
      </c>
      <c r="F768" t="s">
        <v>19</v>
      </c>
      <c r="G768" t="s">
        <v>57</v>
      </c>
      <c r="H768" t="s">
        <v>76</v>
      </c>
      <c r="I768" t="s">
        <v>177</v>
      </c>
      <c r="J768">
        <v>5</v>
      </c>
      <c r="K768" s="4">
        <v>790.61</v>
      </c>
      <c r="L768" s="2">
        <v>3953.05</v>
      </c>
      <c r="M768">
        <v>0.05</v>
      </c>
      <c r="N768" s="4">
        <v>2064.65</v>
      </c>
      <c r="O768" t="s">
        <v>23</v>
      </c>
      <c r="P768">
        <v>7</v>
      </c>
    </row>
    <row r="769" spans="1:16" x14ac:dyDescent="0.35">
      <c r="A769" t="s">
        <v>2103</v>
      </c>
      <c r="B769" s="10" t="s">
        <v>2104</v>
      </c>
      <c r="C769" s="11" t="str">
        <f t="shared" si="11"/>
        <v>October</v>
      </c>
      <c r="D769" t="s">
        <v>307</v>
      </c>
      <c r="E769" t="s">
        <v>2105</v>
      </c>
      <c r="F769" t="s">
        <v>36</v>
      </c>
      <c r="G769" t="s">
        <v>57</v>
      </c>
      <c r="H769" t="s">
        <v>76</v>
      </c>
      <c r="I769" t="s">
        <v>119</v>
      </c>
      <c r="J769">
        <v>10</v>
      </c>
      <c r="K769" s="4">
        <v>1012.01</v>
      </c>
      <c r="L769" s="2">
        <v>10120.1</v>
      </c>
      <c r="M769">
        <v>0.1</v>
      </c>
      <c r="N769" s="4">
        <v>4843.74</v>
      </c>
      <c r="O769" t="s">
        <v>31</v>
      </c>
      <c r="P769">
        <v>7</v>
      </c>
    </row>
    <row r="770" spans="1:16" x14ac:dyDescent="0.35">
      <c r="A770" t="s">
        <v>2106</v>
      </c>
      <c r="B770" s="10" t="s">
        <v>1577</v>
      </c>
      <c r="C770" s="11" t="str">
        <f t="shared" si="11"/>
        <v>April</v>
      </c>
      <c r="D770" t="s">
        <v>618</v>
      </c>
      <c r="E770" t="s">
        <v>2107</v>
      </c>
      <c r="F770" t="s">
        <v>19</v>
      </c>
      <c r="G770" t="s">
        <v>57</v>
      </c>
      <c r="H770" t="s">
        <v>21</v>
      </c>
      <c r="I770" t="s">
        <v>22</v>
      </c>
      <c r="J770">
        <v>3</v>
      </c>
      <c r="K770" s="4">
        <v>875.59</v>
      </c>
      <c r="L770" s="2">
        <v>2626.77</v>
      </c>
      <c r="M770">
        <v>0.1</v>
      </c>
      <c r="N770" s="4">
        <v>469.72</v>
      </c>
      <c r="O770" t="s">
        <v>23</v>
      </c>
      <c r="P770">
        <v>6</v>
      </c>
    </row>
    <row r="771" spans="1:16" x14ac:dyDescent="0.35">
      <c r="A771" t="s">
        <v>2108</v>
      </c>
      <c r="B771" s="10" t="s">
        <v>33</v>
      </c>
      <c r="C771" s="11" t="str">
        <f t="shared" ref="C771:C834" si="12">TEXT(B771,"MMMM")</f>
        <v>June</v>
      </c>
      <c r="D771" t="s">
        <v>1778</v>
      </c>
      <c r="E771" t="s">
        <v>2109</v>
      </c>
      <c r="F771" t="s">
        <v>44</v>
      </c>
      <c r="G771" t="s">
        <v>57</v>
      </c>
      <c r="H771" t="s">
        <v>21</v>
      </c>
      <c r="I771" t="s">
        <v>38</v>
      </c>
      <c r="J771">
        <v>8</v>
      </c>
      <c r="K771" s="4">
        <v>342.16</v>
      </c>
      <c r="L771" s="2">
        <v>2737.28</v>
      </c>
      <c r="M771">
        <v>0.3</v>
      </c>
      <c r="N771" s="4">
        <v>300.43</v>
      </c>
      <c r="O771" t="s">
        <v>31</v>
      </c>
      <c r="P771">
        <v>3</v>
      </c>
    </row>
    <row r="772" spans="1:16" x14ac:dyDescent="0.35">
      <c r="A772" t="s">
        <v>2110</v>
      </c>
      <c r="B772" s="10" t="s">
        <v>1911</v>
      </c>
      <c r="C772" s="11" t="str">
        <f t="shared" si="12"/>
        <v>July</v>
      </c>
      <c r="D772" t="s">
        <v>1270</v>
      </c>
      <c r="E772" t="s">
        <v>2111</v>
      </c>
      <c r="F772" t="s">
        <v>19</v>
      </c>
      <c r="G772" t="s">
        <v>28</v>
      </c>
      <c r="H772" t="s">
        <v>21</v>
      </c>
      <c r="I772" t="s">
        <v>22</v>
      </c>
      <c r="J772">
        <v>10</v>
      </c>
      <c r="K772" s="4">
        <v>582.29999999999995</v>
      </c>
      <c r="L772" s="2">
        <v>5823</v>
      </c>
      <c r="M772">
        <v>0</v>
      </c>
      <c r="N772" s="4">
        <v>1635.78</v>
      </c>
      <c r="O772" t="s">
        <v>39</v>
      </c>
      <c r="P772">
        <v>9</v>
      </c>
    </row>
    <row r="773" spans="1:16" x14ac:dyDescent="0.35">
      <c r="A773" t="s">
        <v>2112</v>
      </c>
      <c r="B773" s="10" t="s">
        <v>950</v>
      </c>
      <c r="C773" s="11" t="str">
        <f t="shared" si="12"/>
        <v>March</v>
      </c>
      <c r="D773" t="s">
        <v>2113</v>
      </c>
      <c r="E773" t="s">
        <v>2114</v>
      </c>
      <c r="F773" t="s">
        <v>44</v>
      </c>
      <c r="G773" t="s">
        <v>57</v>
      </c>
      <c r="H773" t="s">
        <v>29</v>
      </c>
      <c r="I773" t="s">
        <v>62</v>
      </c>
      <c r="J773">
        <v>2</v>
      </c>
      <c r="K773" s="4">
        <v>655.61</v>
      </c>
      <c r="L773" s="2">
        <v>1311.22</v>
      </c>
      <c r="M773">
        <v>0.3</v>
      </c>
      <c r="N773" s="4">
        <v>341.38</v>
      </c>
      <c r="O773" t="s">
        <v>39</v>
      </c>
      <c r="P773">
        <v>3</v>
      </c>
    </row>
    <row r="774" spans="1:16" x14ac:dyDescent="0.35">
      <c r="A774" t="s">
        <v>2115</v>
      </c>
      <c r="B774" s="10" t="s">
        <v>1290</v>
      </c>
      <c r="C774" s="11" t="str">
        <f t="shared" si="12"/>
        <v>April</v>
      </c>
      <c r="D774" t="s">
        <v>468</v>
      </c>
      <c r="E774" t="s">
        <v>2116</v>
      </c>
      <c r="F774" t="s">
        <v>36</v>
      </c>
      <c r="G774" t="s">
        <v>57</v>
      </c>
      <c r="H774" t="s">
        <v>21</v>
      </c>
      <c r="I774" t="s">
        <v>22</v>
      </c>
      <c r="J774">
        <v>2</v>
      </c>
      <c r="K774" s="4">
        <v>565.98</v>
      </c>
      <c r="L774" s="2">
        <v>1131.96</v>
      </c>
      <c r="M774">
        <v>0.05</v>
      </c>
      <c r="N774" s="4">
        <v>400.22</v>
      </c>
      <c r="O774" t="s">
        <v>23</v>
      </c>
      <c r="P774">
        <v>6</v>
      </c>
    </row>
    <row r="775" spans="1:16" x14ac:dyDescent="0.35">
      <c r="A775" t="s">
        <v>2117</v>
      </c>
      <c r="B775" s="10" t="s">
        <v>1963</v>
      </c>
      <c r="C775" s="11" t="str">
        <f t="shared" si="12"/>
        <v>September</v>
      </c>
      <c r="D775" t="s">
        <v>870</v>
      </c>
      <c r="E775" t="s">
        <v>2118</v>
      </c>
      <c r="F775" t="s">
        <v>36</v>
      </c>
      <c r="G775" t="s">
        <v>57</v>
      </c>
      <c r="H775" t="s">
        <v>29</v>
      </c>
      <c r="I775" t="s">
        <v>30</v>
      </c>
      <c r="J775">
        <v>10</v>
      </c>
      <c r="K775" s="4">
        <v>757.78</v>
      </c>
      <c r="L775" s="2">
        <v>7577.8</v>
      </c>
      <c r="M775">
        <v>0.3</v>
      </c>
      <c r="N775" s="4">
        <v>2448.23</v>
      </c>
      <c r="O775" t="s">
        <v>39</v>
      </c>
      <c r="P775">
        <v>10</v>
      </c>
    </row>
    <row r="776" spans="1:16" x14ac:dyDescent="0.35">
      <c r="A776" t="s">
        <v>2119</v>
      </c>
      <c r="B776" s="10" t="s">
        <v>1916</v>
      </c>
      <c r="C776" s="11" t="str">
        <f t="shared" si="12"/>
        <v>May</v>
      </c>
      <c r="D776" t="s">
        <v>94</v>
      </c>
      <c r="E776" t="s">
        <v>2120</v>
      </c>
      <c r="F776" t="s">
        <v>19</v>
      </c>
      <c r="G776" t="s">
        <v>28</v>
      </c>
      <c r="H776" t="s">
        <v>29</v>
      </c>
      <c r="I776" t="s">
        <v>30</v>
      </c>
      <c r="J776">
        <v>4</v>
      </c>
      <c r="K776" s="4">
        <v>1181.43</v>
      </c>
      <c r="L776" s="2">
        <v>4725.72</v>
      </c>
      <c r="M776">
        <v>0.3</v>
      </c>
      <c r="N776" s="4">
        <v>1295.3</v>
      </c>
      <c r="O776" t="s">
        <v>31</v>
      </c>
      <c r="P776">
        <v>9</v>
      </c>
    </row>
    <row r="777" spans="1:16" x14ac:dyDescent="0.35">
      <c r="A777" t="s">
        <v>2121</v>
      </c>
      <c r="B777" s="10" t="s">
        <v>971</v>
      </c>
      <c r="C777" s="11" t="str">
        <f t="shared" si="12"/>
        <v>February</v>
      </c>
      <c r="D777" t="s">
        <v>330</v>
      </c>
      <c r="E777" t="s">
        <v>2122</v>
      </c>
      <c r="F777" t="s">
        <v>36</v>
      </c>
      <c r="G777" t="s">
        <v>20</v>
      </c>
      <c r="H777" t="s">
        <v>29</v>
      </c>
      <c r="I777" t="s">
        <v>62</v>
      </c>
      <c r="J777">
        <v>10</v>
      </c>
      <c r="K777" s="4">
        <v>813.17</v>
      </c>
      <c r="L777" s="2">
        <v>8131.7</v>
      </c>
      <c r="M777">
        <v>0.2</v>
      </c>
      <c r="N777" s="4">
        <v>2107.37</v>
      </c>
      <c r="O777" t="s">
        <v>31</v>
      </c>
      <c r="P777">
        <v>5</v>
      </c>
    </row>
    <row r="778" spans="1:16" x14ac:dyDescent="0.35">
      <c r="A778" t="s">
        <v>2123</v>
      </c>
      <c r="B778" s="10" t="s">
        <v>1195</v>
      </c>
      <c r="C778" s="11" t="str">
        <f t="shared" si="12"/>
        <v>December</v>
      </c>
      <c r="D778" t="s">
        <v>398</v>
      </c>
      <c r="E778" t="s">
        <v>2124</v>
      </c>
      <c r="F778" t="s">
        <v>19</v>
      </c>
      <c r="G778" t="s">
        <v>57</v>
      </c>
      <c r="H778" t="s">
        <v>21</v>
      </c>
      <c r="I778" t="s">
        <v>105</v>
      </c>
      <c r="J778">
        <v>9</v>
      </c>
      <c r="K778" s="4">
        <v>880.1</v>
      </c>
      <c r="L778" s="2">
        <v>7920.9</v>
      </c>
      <c r="M778">
        <v>0.1</v>
      </c>
      <c r="N778" s="4">
        <v>3373.78</v>
      </c>
      <c r="O778" t="s">
        <v>23</v>
      </c>
      <c r="P778">
        <v>9</v>
      </c>
    </row>
    <row r="779" spans="1:16" x14ac:dyDescent="0.35">
      <c r="A779" t="s">
        <v>2125</v>
      </c>
      <c r="B779" s="10" t="s">
        <v>634</v>
      </c>
      <c r="C779" s="11" t="str">
        <f t="shared" si="12"/>
        <v>June</v>
      </c>
      <c r="D779" t="s">
        <v>385</v>
      </c>
      <c r="E779" t="s">
        <v>2126</v>
      </c>
      <c r="F779" t="s">
        <v>44</v>
      </c>
      <c r="G779" t="s">
        <v>57</v>
      </c>
      <c r="H779" t="s">
        <v>76</v>
      </c>
      <c r="I779" t="s">
        <v>77</v>
      </c>
      <c r="J779">
        <v>7</v>
      </c>
      <c r="K779" s="4">
        <v>776.34</v>
      </c>
      <c r="L779" s="2">
        <v>5434.38</v>
      </c>
      <c r="M779">
        <v>0.3</v>
      </c>
      <c r="N779" s="4">
        <v>2013.32</v>
      </c>
      <c r="O779" t="s">
        <v>31</v>
      </c>
      <c r="P779">
        <v>9</v>
      </c>
    </row>
    <row r="780" spans="1:16" x14ac:dyDescent="0.35">
      <c r="A780" t="s">
        <v>2127</v>
      </c>
      <c r="B780" s="10" t="s">
        <v>1164</v>
      </c>
      <c r="C780" s="11" t="str">
        <f t="shared" si="12"/>
        <v>April</v>
      </c>
      <c r="D780" t="s">
        <v>489</v>
      </c>
      <c r="E780" t="s">
        <v>2128</v>
      </c>
      <c r="F780" t="s">
        <v>44</v>
      </c>
      <c r="G780" t="s">
        <v>28</v>
      </c>
      <c r="H780" t="s">
        <v>76</v>
      </c>
      <c r="I780" t="s">
        <v>128</v>
      </c>
      <c r="J780">
        <v>6</v>
      </c>
      <c r="K780" s="4">
        <v>630.36</v>
      </c>
      <c r="L780" s="2">
        <v>3782.16</v>
      </c>
      <c r="M780">
        <v>0</v>
      </c>
      <c r="N780" s="4">
        <v>743.12</v>
      </c>
      <c r="O780" t="s">
        <v>23</v>
      </c>
      <c r="P780">
        <v>8</v>
      </c>
    </row>
    <row r="781" spans="1:16" x14ac:dyDescent="0.35">
      <c r="A781" t="s">
        <v>2129</v>
      </c>
      <c r="B781" s="10" t="s">
        <v>878</v>
      </c>
      <c r="C781" s="11" t="str">
        <f t="shared" si="12"/>
        <v>January</v>
      </c>
      <c r="D781" t="s">
        <v>1410</v>
      </c>
      <c r="E781" t="s">
        <v>2130</v>
      </c>
      <c r="F781" t="s">
        <v>36</v>
      </c>
      <c r="G781" t="s">
        <v>28</v>
      </c>
      <c r="H781" t="s">
        <v>76</v>
      </c>
      <c r="I781" t="s">
        <v>77</v>
      </c>
      <c r="J781">
        <v>7</v>
      </c>
      <c r="K781" s="4">
        <v>249.64</v>
      </c>
      <c r="L781" s="2">
        <v>1747.48</v>
      </c>
      <c r="M781">
        <v>0</v>
      </c>
      <c r="N781" s="4">
        <v>345.93</v>
      </c>
      <c r="O781" t="s">
        <v>31</v>
      </c>
      <c r="P781">
        <v>4</v>
      </c>
    </row>
    <row r="782" spans="1:16" x14ac:dyDescent="0.35">
      <c r="A782" t="s">
        <v>2131</v>
      </c>
      <c r="B782" s="10" t="s">
        <v>1887</v>
      </c>
      <c r="C782" s="11" t="str">
        <f t="shared" si="12"/>
        <v>January</v>
      </c>
      <c r="D782" t="s">
        <v>940</v>
      </c>
      <c r="E782" t="s">
        <v>2132</v>
      </c>
      <c r="F782" t="s">
        <v>44</v>
      </c>
      <c r="G782" t="s">
        <v>20</v>
      </c>
      <c r="H782" t="s">
        <v>29</v>
      </c>
      <c r="I782" t="s">
        <v>224</v>
      </c>
      <c r="J782">
        <v>6</v>
      </c>
      <c r="K782" s="4">
        <v>386.75</v>
      </c>
      <c r="L782" s="2">
        <v>2320.5</v>
      </c>
      <c r="M782">
        <v>0.3</v>
      </c>
      <c r="N782" s="4">
        <v>487.11</v>
      </c>
      <c r="O782" t="s">
        <v>23</v>
      </c>
      <c r="P782">
        <v>6</v>
      </c>
    </row>
    <row r="783" spans="1:16" x14ac:dyDescent="0.35">
      <c r="A783" t="s">
        <v>2133</v>
      </c>
      <c r="B783" s="10" t="s">
        <v>2134</v>
      </c>
      <c r="C783" s="11" t="str">
        <f t="shared" si="12"/>
        <v>June</v>
      </c>
      <c r="D783" t="s">
        <v>451</v>
      </c>
      <c r="E783" t="s">
        <v>776</v>
      </c>
      <c r="F783" t="s">
        <v>36</v>
      </c>
      <c r="G783" t="s">
        <v>20</v>
      </c>
      <c r="H783" t="s">
        <v>76</v>
      </c>
      <c r="I783" t="s">
        <v>119</v>
      </c>
      <c r="J783">
        <v>2</v>
      </c>
      <c r="K783" s="4">
        <v>578.82000000000005</v>
      </c>
      <c r="L783" s="2">
        <v>1157.6400000000001</v>
      </c>
      <c r="M783">
        <v>0.1</v>
      </c>
      <c r="N783" s="4">
        <v>226.08</v>
      </c>
      <c r="O783" t="s">
        <v>23</v>
      </c>
      <c r="P783">
        <v>10</v>
      </c>
    </row>
    <row r="784" spans="1:16" x14ac:dyDescent="0.35">
      <c r="A784" t="s">
        <v>2135</v>
      </c>
      <c r="B784" s="10" t="s">
        <v>2136</v>
      </c>
      <c r="C784" s="11" t="str">
        <f t="shared" si="12"/>
        <v>January</v>
      </c>
      <c r="D784" t="s">
        <v>866</v>
      </c>
      <c r="E784" t="s">
        <v>2137</v>
      </c>
      <c r="F784" t="s">
        <v>44</v>
      </c>
      <c r="G784" t="s">
        <v>20</v>
      </c>
      <c r="H784" t="s">
        <v>76</v>
      </c>
      <c r="I784" t="s">
        <v>77</v>
      </c>
      <c r="J784">
        <v>8</v>
      </c>
      <c r="K784" s="4">
        <v>703.14</v>
      </c>
      <c r="L784" s="2">
        <v>5625.12</v>
      </c>
      <c r="M784">
        <v>0</v>
      </c>
      <c r="N784" s="4">
        <v>901.09</v>
      </c>
      <c r="O784" t="s">
        <v>31</v>
      </c>
      <c r="P784">
        <v>1</v>
      </c>
    </row>
    <row r="785" spans="1:16" x14ac:dyDescent="0.35">
      <c r="A785" t="s">
        <v>2138</v>
      </c>
      <c r="B785" s="10" t="s">
        <v>1809</v>
      </c>
      <c r="C785" s="11" t="str">
        <f t="shared" si="12"/>
        <v>December</v>
      </c>
      <c r="D785" t="s">
        <v>976</v>
      </c>
      <c r="E785" t="s">
        <v>2139</v>
      </c>
      <c r="F785" t="s">
        <v>19</v>
      </c>
      <c r="G785" t="s">
        <v>20</v>
      </c>
      <c r="H785" t="s">
        <v>76</v>
      </c>
      <c r="I785" t="s">
        <v>77</v>
      </c>
      <c r="J785">
        <v>5</v>
      </c>
      <c r="K785" s="4">
        <v>740.67</v>
      </c>
      <c r="L785" s="2">
        <v>3703.35</v>
      </c>
      <c r="M785">
        <v>0.15</v>
      </c>
      <c r="N785" s="4">
        <v>1648.48</v>
      </c>
      <c r="O785" t="s">
        <v>39</v>
      </c>
      <c r="P785">
        <v>7</v>
      </c>
    </row>
    <row r="786" spans="1:16" x14ac:dyDescent="0.35">
      <c r="A786" t="s">
        <v>2140</v>
      </c>
      <c r="B786" s="10" t="s">
        <v>450</v>
      </c>
      <c r="C786" s="11" t="str">
        <f t="shared" si="12"/>
        <v>December</v>
      </c>
      <c r="D786" t="s">
        <v>1658</v>
      </c>
      <c r="E786" t="s">
        <v>2141</v>
      </c>
      <c r="F786" t="s">
        <v>36</v>
      </c>
      <c r="G786" t="s">
        <v>28</v>
      </c>
      <c r="H786" t="s">
        <v>76</v>
      </c>
      <c r="I786" t="s">
        <v>77</v>
      </c>
      <c r="J786">
        <v>10</v>
      </c>
      <c r="K786" s="4">
        <v>907.32</v>
      </c>
      <c r="L786" s="2">
        <v>9073.2000000000007</v>
      </c>
      <c r="M786">
        <v>0.05</v>
      </c>
      <c r="N786" s="4">
        <v>1759.82</v>
      </c>
      <c r="O786" t="s">
        <v>39</v>
      </c>
      <c r="P786">
        <v>8</v>
      </c>
    </row>
    <row r="787" spans="1:16" x14ac:dyDescent="0.35">
      <c r="A787" t="s">
        <v>2142</v>
      </c>
      <c r="B787" s="10" t="s">
        <v>1131</v>
      </c>
      <c r="C787" s="11" t="str">
        <f t="shared" si="12"/>
        <v>January</v>
      </c>
      <c r="D787" t="s">
        <v>222</v>
      </c>
      <c r="E787" t="s">
        <v>2143</v>
      </c>
      <c r="F787" t="s">
        <v>19</v>
      </c>
      <c r="G787" t="s">
        <v>57</v>
      </c>
      <c r="H787" t="s">
        <v>76</v>
      </c>
      <c r="I787" t="s">
        <v>177</v>
      </c>
      <c r="J787">
        <v>10</v>
      </c>
      <c r="K787" s="4">
        <v>139.51</v>
      </c>
      <c r="L787" s="2">
        <v>1395.1</v>
      </c>
      <c r="M787">
        <v>0.3</v>
      </c>
      <c r="N787" s="4">
        <v>170.87</v>
      </c>
      <c r="O787" t="s">
        <v>23</v>
      </c>
      <c r="P787">
        <v>4</v>
      </c>
    </row>
    <row r="788" spans="1:16" x14ac:dyDescent="0.35">
      <c r="A788" t="s">
        <v>2144</v>
      </c>
      <c r="B788" s="10" t="s">
        <v>1145</v>
      </c>
      <c r="C788" s="11" t="str">
        <f t="shared" si="12"/>
        <v>April</v>
      </c>
      <c r="D788" t="s">
        <v>627</v>
      </c>
      <c r="E788" t="s">
        <v>2145</v>
      </c>
      <c r="F788" t="s">
        <v>36</v>
      </c>
      <c r="G788" t="s">
        <v>57</v>
      </c>
      <c r="H788" t="s">
        <v>29</v>
      </c>
      <c r="I788" t="s">
        <v>30</v>
      </c>
      <c r="J788">
        <v>1</v>
      </c>
      <c r="K788" s="4">
        <v>722.31</v>
      </c>
      <c r="L788" s="2">
        <v>722.31</v>
      </c>
      <c r="M788">
        <v>0</v>
      </c>
      <c r="N788" s="4">
        <v>225.97</v>
      </c>
      <c r="O788" t="s">
        <v>39</v>
      </c>
      <c r="P788">
        <v>7</v>
      </c>
    </row>
    <row r="789" spans="1:16" x14ac:dyDescent="0.35">
      <c r="A789" t="s">
        <v>2146</v>
      </c>
      <c r="B789" s="10" t="s">
        <v>804</v>
      </c>
      <c r="C789" s="11" t="str">
        <f t="shared" si="12"/>
        <v>January</v>
      </c>
      <c r="D789" t="s">
        <v>436</v>
      </c>
      <c r="E789" t="s">
        <v>2147</v>
      </c>
      <c r="F789" t="s">
        <v>44</v>
      </c>
      <c r="G789" t="s">
        <v>28</v>
      </c>
      <c r="H789" t="s">
        <v>76</v>
      </c>
      <c r="I789" t="s">
        <v>177</v>
      </c>
      <c r="J789">
        <v>8</v>
      </c>
      <c r="K789" s="4">
        <v>239.39</v>
      </c>
      <c r="L789" s="2">
        <v>1915.12</v>
      </c>
      <c r="M789">
        <v>0.05</v>
      </c>
      <c r="N789" s="4">
        <v>420.62</v>
      </c>
      <c r="O789" t="s">
        <v>23</v>
      </c>
      <c r="P789">
        <v>6</v>
      </c>
    </row>
    <row r="790" spans="1:16" x14ac:dyDescent="0.35">
      <c r="A790" t="s">
        <v>2148</v>
      </c>
      <c r="B790" s="10" t="s">
        <v>539</v>
      </c>
      <c r="C790" s="11" t="str">
        <f t="shared" si="12"/>
        <v>November</v>
      </c>
      <c r="D790" t="s">
        <v>1435</v>
      </c>
      <c r="E790" t="s">
        <v>2149</v>
      </c>
      <c r="F790" t="s">
        <v>44</v>
      </c>
      <c r="G790" t="s">
        <v>57</v>
      </c>
      <c r="H790" t="s">
        <v>76</v>
      </c>
      <c r="I790" t="s">
        <v>177</v>
      </c>
      <c r="J790">
        <v>9</v>
      </c>
      <c r="K790" s="4">
        <v>935.08</v>
      </c>
      <c r="L790" s="2">
        <v>8415.7199999999993</v>
      </c>
      <c r="M790">
        <v>0.05</v>
      </c>
      <c r="N790" s="4">
        <v>2895.69</v>
      </c>
      <c r="O790" t="s">
        <v>31</v>
      </c>
      <c r="P790">
        <v>9</v>
      </c>
    </row>
    <row r="791" spans="1:16" x14ac:dyDescent="0.35">
      <c r="A791" t="s">
        <v>2150</v>
      </c>
      <c r="B791" s="10" t="s">
        <v>749</v>
      </c>
      <c r="C791" s="11" t="str">
        <f t="shared" si="12"/>
        <v>August</v>
      </c>
      <c r="D791" t="s">
        <v>750</v>
      </c>
      <c r="E791" t="s">
        <v>2151</v>
      </c>
      <c r="F791" t="s">
        <v>36</v>
      </c>
      <c r="G791" t="s">
        <v>37</v>
      </c>
      <c r="H791" t="s">
        <v>21</v>
      </c>
      <c r="I791" t="s">
        <v>105</v>
      </c>
      <c r="J791">
        <v>1</v>
      </c>
      <c r="K791" s="4">
        <v>300.12</v>
      </c>
      <c r="L791" s="2">
        <v>300.12</v>
      </c>
      <c r="M791">
        <v>0.2</v>
      </c>
      <c r="N791" s="4">
        <v>49.58</v>
      </c>
      <c r="O791" t="s">
        <v>23</v>
      </c>
      <c r="P791">
        <v>4</v>
      </c>
    </row>
    <row r="792" spans="1:16" x14ac:dyDescent="0.35">
      <c r="A792" t="s">
        <v>2152</v>
      </c>
      <c r="B792" s="10" t="s">
        <v>1455</v>
      </c>
      <c r="C792" s="11" t="str">
        <f t="shared" si="12"/>
        <v>August</v>
      </c>
      <c r="D792" t="s">
        <v>497</v>
      </c>
      <c r="E792" t="s">
        <v>2153</v>
      </c>
      <c r="F792" t="s">
        <v>19</v>
      </c>
      <c r="G792" t="s">
        <v>57</v>
      </c>
      <c r="H792" t="s">
        <v>29</v>
      </c>
      <c r="I792" t="s">
        <v>110</v>
      </c>
      <c r="J792">
        <v>4</v>
      </c>
      <c r="K792" s="4">
        <v>808.07</v>
      </c>
      <c r="L792" s="2">
        <v>3232.28</v>
      </c>
      <c r="M792">
        <v>0.3</v>
      </c>
      <c r="N792" s="4">
        <v>618.29</v>
      </c>
      <c r="O792" t="s">
        <v>23</v>
      </c>
      <c r="P792">
        <v>10</v>
      </c>
    </row>
    <row r="793" spans="1:16" x14ac:dyDescent="0.35">
      <c r="A793" t="s">
        <v>2154</v>
      </c>
      <c r="B793" s="10" t="s">
        <v>2155</v>
      </c>
      <c r="C793" s="11" t="str">
        <f t="shared" si="12"/>
        <v>January</v>
      </c>
      <c r="D793" t="s">
        <v>1201</v>
      </c>
      <c r="E793" t="s">
        <v>2156</v>
      </c>
      <c r="F793" t="s">
        <v>36</v>
      </c>
      <c r="G793" t="s">
        <v>20</v>
      </c>
      <c r="H793" t="s">
        <v>76</v>
      </c>
      <c r="I793" t="s">
        <v>177</v>
      </c>
      <c r="J793">
        <v>5</v>
      </c>
      <c r="K793" s="4">
        <v>514.05999999999995</v>
      </c>
      <c r="L793" s="2">
        <v>2570.3000000000002</v>
      </c>
      <c r="M793">
        <v>0.05</v>
      </c>
      <c r="N793" s="4">
        <v>1240.58</v>
      </c>
      <c r="O793" t="s">
        <v>23</v>
      </c>
      <c r="P793">
        <v>4</v>
      </c>
    </row>
    <row r="794" spans="1:16" x14ac:dyDescent="0.35">
      <c r="A794" t="s">
        <v>2157</v>
      </c>
      <c r="B794" s="10" t="s">
        <v>1179</v>
      </c>
      <c r="C794" s="11" t="str">
        <f t="shared" si="12"/>
        <v>June</v>
      </c>
      <c r="D794" t="s">
        <v>549</v>
      </c>
      <c r="E794" t="s">
        <v>2158</v>
      </c>
      <c r="F794" t="s">
        <v>44</v>
      </c>
      <c r="G794" t="s">
        <v>37</v>
      </c>
      <c r="H794" t="s">
        <v>21</v>
      </c>
      <c r="I794" t="s">
        <v>105</v>
      </c>
      <c r="J794">
        <v>8</v>
      </c>
      <c r="K794" s="4">
        <v>756.23</v>
      </c>
      <c r="L794" s="2">
        <v>6049.84</v>
      </c>
      <c r="M794">
        <v>0.05</v>
      </c>
      <c r="N794" s="4">
        <v>2055.84</v>
      </c>
      <c r="O794" t="s">
        <v>39</v>
      </c>
      <c r="P794">
        <v>3</v>
      </c>
    </row>
    <row r="795" spans="1:16" x14ac:dyDescent="0.35">
      <c r="A795" t="s">
        <v>2159</v>
      </c>
      <c r="B795" s="10" t="s">
        <v>412</v>
      </c>
      <c r="C795" s="11" t="str">
        <f t="shared" si="12"/>
        <v>March</v>
      </c>
      <c r="D795" t="s">
        <v>299</v>
      </c>
      <c r="E795" t="s">
        <v>2160</v>
      </c>
      <c r="F795" t="s">
        <v>44</v>
      </c>
      <c r="G795" t="s">
        <v>37</v>
      </c>
      <c r="H795" t="s">
        <v>29</v>
      </c>
      <c r="I795" t="s">
        <v>110</v>
      </c>
      <c r="J795">
        <v>1</v>
      </c>
      <c r="K795" s="4">
        <v>107</v>
      </c>
      <c r="L795" s="2">
        <v>107</v>
      </c>
      <c r="M795">
        <v>0</v>
      </c>
      <c r="N795" s="4">
        <v>35.11</v>
      </c>
      <c r="O795" t="s">
        <v>23</v>
      </c>
      <c r="P795">
        <v>10</v>
      </c>
    </row>
    <row r="796" spans="1:16" x14ac:dyDescent="0.35">
      <c r="A796" t="s">
        <v>2161</v>
      </c>
      <c r="B796" s="10" t="s">
        <v>84</v>
      </c>
      <c r="C796" s="11" t="str">
        <f t="shared" si="12"/>
        <v>May</v>
      </c>
      <c r="D796" t="s">
        <v>658</v>
      </c>
      <c r="E796" t="s">
        <v>2162</v>
      </c>
      <c r="F796" t="s">
        <v>36</v>
      </c>
      <c r="G796" t="s">
        <v>57</v>
      </c>
      <c r="H796" t="s">
        <v>76</v>
      </c>
      <c r="I796" t="s">
        <v>77</v>
      </c>
      <c r="J796">
        <v>1</v>
      </c>
      <c r="K796" s="4">
        <v>254.96</v>
      </c>
      <c r="L796" s="2">
        <v>254.96</v>
      </c>
      <c r="M796">
        <v>0.1</v>
      </c>
      <c r="N796" s="4">
        <v>110.22</v>
      </c>
      <c r="O796" t="s">
        <v>23</v>
      </c>
      <c r="P796">
        <v>4</v>
      </c>
    </row>
    <row r="797" spans="1:16" x14ac:dyDescent="0.35">
      <c r="A797" t="s">
        <v>2163</v>
      </c>
      <c r="B797" s="10" t="s">
        <v>2164</v>
      </c>
      <c r="C797" s="11" t="str">
        <f t="shared" si="12"/>
        <v>January</v>
      </c>
      <c r="D797" t="s">
        <v>17</v>
      </c>
      <c r="E797" t="s">
        <v>2165</v>
      </c>
      <c r="F797" t="s">
        <v>36</v>
      </c>
      <c r="G797" t="s">
        <v>28</v>
      </c>
      <c r="H797" t="s">
        <v>29</v>
      </c>
      <c r="I797" t="s">
        <v>224</v>
      </c>
      <c r="J797">
        <v>1</v>
      </c>
      <c r="K797" s="4">
        <v>227.77</v>
      </c>
      <c r="L797" s="2">
        <v>227.77</v>
      </c>
      <c r="M797">
        <v>0.1</v>
      </c>
      <c r="N797" s="4">
        <v>38.08</v>
      </c>
      <c r="O797" t="s">
        <v>23</v>
      </c>
      <c r="P797">
        <v>2</v>
      </c>
    </row>
    <row r="798" spans="1:16" x14ac:dyDescent="0.35">
      <c r="A798" t="s">
        <v>2166</v>
      </c>
      <c r="B798" s="10" t="s">
        <v>1320</v>
      </c>
      <c r="C798" s="11" t="str">
        <f t="shared" si="12"/>
        <v>December</v>
      </c>
      <c r="D798" t="s">
        <v>506</v>
      </c>
      <c r="E798" t="s">
        <v>2167</v>
      </c>
      <c r="F798" t="s">
        <v>19</v>
      </c>
      <c r="G798" t="s">
        <v>28</v>
      </c>
      <c r="H798" t="s">
        <v>76</v>
      </c>
      <c r="I798" t="s">
        <v>119</v>
      </c>
      <c r="J798">
        <v>5</v>
      </c>
      <c r="K798" s="4">
        <v>558.32000000000005</v>
      </c>
      <c r="L798" s="2">
        <v>2791.6</v>
      </c>
      <c r="M798">
        <v>0.1</v>
      </c>
      <c r="N798" s="4">
        <v>568.33000000000004</v>
      </c>
      <c r="O798" t="s">
        <v>23</v>
      </c>
      <c r="P798">
        <v>2</v>
      </c>
    </row>
    <row r="799" spans="1:16" x14ac:dyDescent="0.35">
      <c r="A799" t="s">
        <v>2168</v>
      </c>
      <c r="B799" s="10" t="s">
        <v>1508</v>
      </c>
      <c r="C799" s="11" t="str">
        <f t="shared" si="12"/>
        <v>December</v>
      </c>
      <c r="D799" t="s">
        <v>570</v>
      </c>
      <c r="E799" t="s">
        <v>2169</v>
      </c>
      <c r="F799" t="s">
        <v>44</v>
      </c>
      <c r="G799" t="s">
        <v>28</v>
      </c>
      <c r="H799" t="s">
        <v>29</v>
      </c>
      <c r="I799" t="s">
        <v>224</v>
      </c>
      <c r="J799">
        <v>3</v>
      </c>
      <c r="K799" s="4">
        <v>957.98</v>
      </c>
      <c r="L799" s="2">
        <v>2873.94</v>
      </c>
      <c r="M799">
        <v>0.05</v>
      </c>
      <c r="N799" s="4">
        <v>920.03</v>
      </c>
      <c r="O799" t="s">
        <v>23</v>
      </c>
      <c r="P799">
        <v>4</v>
      </c>
    </row>
    <row r="800" spans="1:16" x14ac:dyDescent="0.35">
      <c r="A800" t="s">
        <v>2170</v>
      </c>
      <c r="B800" s="10" t="s">
        <v>306</v>
      </c>
      <c r="C800" s="11" t="str">
        <f t="shared" si="12"/>
        <v>March</v>
      </c>
      <c r="D800" t="s">
        <v>420</v>
      </c>
      <c r="E800" t="s">
        <v>2171</v>
      </c>
      <c r="F800" t="s">
        <v>36</v>
      </c>
      <c r="G800" t="s">
        <v>20</v>
      </c>
      <c r="H800" t="s">
        <v>29</v>
      </c>
      <c r="I800" t="s">
        <v>100</v>
      </c>
      <c r="J800">
        <v>10</v>
      </c>
      <c r="K800" s="4">
        <v>243.14</v>
      </c>
      <c r="L800" s="2">
        <v>2431.4</v>
      </c>
      <c r="M800">
        <v>0.2</v>
      </c>
      <c r="N800" s="4">
        <v>840.93</v>
      </c>
      <c r="O800" t="s">
        <v>23</v>
      </c>
      <c r="P800">
        <v>5</v>
      </c>
    </row>
    <row r="801" spans="1:16" x14ac:dyDescent="0.35">
      <c r="A801" t="s">
        <v>2172</v>
      </c>
      <c r="B801" s="10" t="s">
        <v>1200</v>
      </c>
      <c r="C801" s="11" t="str">
        <f t="shared" si="12"/>
        <v>August</v>
      </c>
      <c r="D801" t="s">
        <v>691</v>
      </c>
      <c r="E801" t="s">
        <v>2173</v>
      </c>
      <c r="F801" t="s">
        <v>19</v>
      </c>
      <c r="G801" t="s">
        <v>20</v>
      </c>
      <c r="H801" t="s">
        <v>29</v>
      </c>
      <c r="I801" t="s">
        <v>100</v>
      </c>
      <c r="J801">
        <v>10</v>
      </c>
      <c r="K801" s="4">
        <v>1065.28</v>
      </c>
      <c r="L801" s="2">
        <v>10652.8</v>
      </c>
      <c r="M801">
        <v>0.05</v>
      </c>
      <c r="N801" s="4">
        <v>2621.94</v>
      </c>
      <c r="O801" t="s">
        <v>31</v>
      </c>
      <c r="P801">
        <v>9</v>
      </c>
    </row>
    <row r="802" spans="1:16" x14ac:dyDescent="0.35">
      <c r="A802" t="s">
        <v>2174</v>
      </c>
      <c r="B802" s="10" t="s">
        <v>1650</v>
      </c>
      <c r="C802" s="11" t="str">
        <f t="shared" si="12"/>
        <v>December</v>
      </c>
      <c r="D802" t="s">
        <v>570</v>
      </c>
      <c r="E802" t="s">
        <v>2175</v>
      </c>
      <c r="F802" t="s">
        <v>19</v>
      </c>
      <c r="G802" t="s">
        <v>28</v>
      </c>
      <c r="H802" t="s">
        <v>76</v>
      </c>
      <c r="I802" t="s">
        <v>177</v>
      </c>
      <c r="J802">
        <v>6</v>
      </c>
      <c r="K802" s="4">
        <v>608.33000000000004</v>
      </c>
      <c r="L802" s="2">
        <v>3649.98</v>
      </c>
      <c r="M802">
        <v>0.15</v>
      </c>
      <c r="N802" s="4">
        <v>1484.23</v>
      </c>
      <c r="O802" t="s">
        <v>23</v>
      </c>
      <c r="P802">
        <v>8</v>
      </c>
    </row>
    <row r="803" spans="1:16" x14ac:dyDescent="0.35">
      <c r="A803" t="s">
        <v>2176</v>
      </c>
      <c r="B803" s="10" t="s">
        <v>828</v>
      </c>
      <c r="C803" s="11" t="str">
        <f t="shared" si="12"/>
        <v>April</v>
      </c>
      <c r="D803" t="s">
        <v>772</v>
      </c>
      <c r="E803" t="s">
        <v>2177</v>
      </c>
      <c r="F803" t="s">
        <v>36</v>
      </c>
      <c r="G803" t="s">
        <v>28</v>
      </c>
      <c r="H803" t="s">
        <v>76</v>
      </c>
      <c r="I803" t="s">
        <v>87</v>
      </c>
      <c r="J803">
        <v>10</v>
      </c>
      <c r="K803" s="4">
        <v>493.12</v>
      </c>
      <c r="L803" s="2">
        <v>4931.2</v>
      </c>
      <c r="M803">
        <v>0.2</v>
      </c>
      <c r="N803" s="4">
        <v>1144.45</v>
      </c>
      <c r="O803" t="s">
        <v>31</v>
      </c>
      <c r="P803">
        <v>7</v>
      </c>
    </row>
    <row r="804" spans="1:16" x14ac:dyDescent="0.35">
      <c r="A804" t="s">
        <v>2178</v>
      </c>
      <c r="B804" s="10" t="s">
        <v>384</v>
      </c>
      <c r="C804" s="11" t="str">
        <f t="shared" si="12"/>
        <v>July</v>
      </c>
      <c r="D804" t="s">
        <v>986</v>
      </c>
      <c r="E804" t="s">
        <v>2179</v>
      </c>
      <c r="F804" t="s">
        <v>19</v>
      </c>
      <c r="G804" t="s">
        <v>20</v>
      </c>
      <c r="H804" t="s">
        <v>29</v>
      </c>
      <c r="I804" t="s">
        <v>110</v>
      </c>
      <c r="J804">
        <v>7</v>
      </c>
      <c r="K804" s="4">
        <v>1068.68</v>
      </c>
      <c r="L804" s="2">
        <v>7480.76</v>
      </c>
      <c r="M804">
        <v>0.2</v>
      </c>
      <c r="N804" s="4">
        <v>2915.2</v>
      </c>
      <c r="O804" t="s">
        <v>31</v>
      </c>
      <c r="P804">
        <v>2</v>
      </c>
    </row>
    <row r="805" spans="1:16" x14ac:dyDescent="0.35">
      <c r="A805" t="s">
        <v>2180</v>
      </c>
      <c r="B805" s="10" t="s">
        <v>492</v>
      </c>
      <c r="C805" s="11" t="str">
        <f t="shared" si="12"/>
        <v>September</v>
      </c>
      <c r="D805" t="s">
        <v>1658</v>
      </c>
      <c r="E805" t="s">
        <v>2181</v>
      </c>
      <c r="F805" t="s">
        <v>44</v>
      </c>
      <c r="G805" t="s">
        <v>28</v>
      </c>
      <c r="H805" t="s">
        <v>76</v>
      </c>
      <c r="I805" t="s">
        <v>128</v>
      </c>
      <c r="J805">
        <v>9</v>
      </c>
      <c r="K805" s="4">
        <v>434.86</v>
      </c>
      <c r="L805" s="2">
        <v>3913.74</v>
      </c>
      <c r="M805">
        <v>0.2</v>
      </c>
      <c r="N805" s="4">
        <v>1670.52</v>
      </c>
      <c r="O805" t="s">
        <v>39</v>
      </c>
      <c r="P805">
        <v>8</v>
      </c>
    </row>
    <row r="806" spans="1:16" x14ac:dyDescent="0.35">
      <c r="A806" t="s">
        <v>2182</v>
      </c>
      <c r="B806" s="10" t="s">
        <v>878</v>
      </c>
      <c r="C806" s="11" t="str">
        <f t="shared" si="12"/>
        <v>January</v>
      </c>
      <c r="D806" t="s">
        <v>856</v>
      </c>
      <c r="E806" t="s">
        <v>2183</v>
      </c>
      <c r="F806" t="s">
        <v>44</v>
      </c>
      <c r="G806" t="s">
        <v>37</v>
      </c>
      <c r="H806" t="s">
        <v>76</v>
      </c>
      <c r="I806" t="s">
        <v>128</v>
      </c>
      <c r="J806">
        <v>6</v>
      </c>
      <c r="K806" s="4">
        <v>969.32</v>
      </c>
      <c r="L806" s="2">
        <v>5815.92</v>
      </c>
      <c r="M806">
        <v>0.1</v>
      </c>
      <c r="N806" s="4">
        <v>2307.25</v>
      </c>
      <c r="O806" t="s">
        <v>39</v>
      </c>
      <c r="P806">
        <v>2</v>
      </c>
    </row>
    <row r="807" spans="1:16" x14ac:dyDescent="0.35">
      <c r="A807" t="s">
        <v>2184</v>
      </c>
      <c r="B807" s="10" t="s">
        <v>509</v>
      </c>
      <c r="C807" s="11" t="str">
        <f t="shared" si="12"/>
        <v>February</v>
      </c>
      <c r="D807" t="s">
        <v>433</v>
      </c>
      <c r="E807" t="s">
        <v>2185</v>
      </c>
      <c r="F807" t="s">
        <v>36</v>
      </c>
      <c r="G807" t="s">
        <v>20</v>
      </c>
      <c r="H807" t="s">
        <v>76</v>
      </c>
      <c r="I807" t="s">
        <v>77</v>
      </c>
      <c r="J807">
        <v>5</v>
      </c>
      <c r="K807" s="4">
        <v>1014.27</v>
      </c>
      <c r="L807" s="2">
        <v>5071.3500000000004</v>
      </c>
      <c r="M807">
        <v>0.2</v>
      </c>
      <c r="N807" s="4">
        <v>1344.27</v>
      </c>
      <c r="O807" t="s">
        <v>31</v>
      </c>
      <c r="P807">
        <v>2</v>
      </c>
    </row>
    <row r="808" spans="1:16" x14ac:dyDescent="0.35">
      <c r="A808" t="s">
        <v>2186</v>
      </c>
      <c r="B808" s="10" t="s">
        <v>562</v>
      </c>
      <c r="C808" s="11" t="str">
        <f t="shared" si="12"/>
        <v>May</v>
      </c>
      <c r="D808" t="s">
        <v>395</v>
      </c>
      <c r="E808" t="s">
        <v>2187</v>
      </c>
      <c r="F808" t="s">
        <v>19</v>
      </c>
      <c r="G808" t="s">
        <v>57</v>
      </c>
      <c r="H808" t="s">
        <v>76</v>
      </c>
      <c r="I808" t="s">
        <v>77</v>
      </c>
      <c r="J808">
        <v>9</v>
      </c>
      <c r="K808" s="4">
        <v>256.36</v>
      </c>
      <c r="L808" s="2">
        <v>2307.2399999999998</v>
      </c>
      <c r="M808">
        <v>0.05</v>
      </c>
      <c r="N808" s="4">
        <v>613.63</v>
      </c>
      <c r="O808" t="s">
        <v>31</v>
      </c>
      <c r="P808">
        <v>10</v>
      </c>
    </row>
    <row r="809" spans="1:16" x14ac:dyDescent="0.35">
      <c r="A809" t="s">
        <v>2188</v>
      </c>
      <c r="B809" s="10" t="s">
        <v>2189</v>
      </c>
      <c r="C809" s="11" t="str">
        <f t="shared" si="12"/>
        <v>May</v>
      </c>
      <c r="D809" t="s">
        <v>750</v>
      </c>
      <c r="E809" t="s">
        <v>2190</v>
      </c>
      <c r="F809" t="s">
        <v>44</v>
      </c>
      <c r="G809" t="s">
        <v>28</v>
      </c>
      <c r="H809" t="s">
        <v>29</v>
      </c>
      <c r="I809" t="s">
        <v>62</v>
      </c>
      <c r="J809">
        <v>9</v>
      </c>
      <c r="K809" s="4">
        <v>1096.6099999999999</v>
      </c>
      <c r="L809" s="2">
        <v>9869.49</v>
      </c>
      <c r="M809">
        <v>0</v>
      </c>
      <c r="N809" s="4">
        <v>2388.12</v>
      </c>
      <c r="O809" t="s">
        <v>23</v>
      </c>
      <c r="P809">
        <v>1</v>
      </c>
    </row>
    <row r="810" spans="1:16" x14ac:dyDescent="0.35">
      <c r="A810" t="s">
        <v>2191</v>
      </c>
      <c r="B810" s="10" t="s">
        <v>1577</v>
      </c>
      <c r="C810" s="11" t="str">
        <f t="shared" si="12"/>
        <v>April</v>
      </c>
      <c r="D810" t="s">
        <v>214</v>
      </c>
      <c r="E810" t="s">
        <v>2192</v>
      </c>
      <c r="F810" t="s">
        <v>36</v>
      </c>
      <c r="G810" t="s">
        <v>28</v>
      </c>
      <c r="H810" t="s">
        <v>76</v>
      </c>
      <c r="I810" t="s">
        <v>177</v>
      </c>
      <c r="J810">
        <v>3</v>
      </c>
      <c r="K810" s="4">
        <v>1041.25</v>
      </c>
      <c r="L810" s="2">
        <v>3123.75</v>
      </c>
      <c r="M810">
        <v>0.05</v>
      </c>
      <c r="N810" s="4">
        <v>1362.79</v>
      </c>
      <c r="O810" t="s">
        <v>23</v>
      </c>
      <c r="P810">
        <v>8</v>
      </c>
    </row>
    <row r="811" spans="1:16" x14ac:dyDescent="0.35">
      <c r="A811" t="s">
        <v>2193</v>
      </c>
      <c r="B811" s="10" t="s">
        <v>1771</v>
      </c>
      <c r="C811" s="11" t="str">
        <f t="shared" si="12"/>
        <v>December</v>
      </c>
      <c r="D811" t="s">
        <v>237</v>
      </c>
      <c r="E811" t="s">
        <v>2194</v>
      </c>
      <c r="F811" t="s">
        <v>36</v>
      </c>
      <c r="G811" t="s">
        <v>28</v>
      </c>
      <c r="H811" t="s">
        <v>76</v>
      </c>
      <c r="I811" t="s">
        <v>77</v>
      </c>
      <c r="J811">
        <v>6</v>
      </c>
      <c r="K811" s="4">
        <v>1018.05</v>
      </c>
      <c r="L811" s="2">
        <v>6108.3</v>
      </c>
      <c r="M811">
        <v>0.15</v>
      </c>
      <c r="N811" s="4">
        <v>1256.21</v>
      </c>
      <c r="O811" t="s">
        <v>39</v>
      </c>
      <c r="P811">
        <v>9</v>
      </c>
    </row>
    <row r="812" spans="1:16" x14ac:dyDescent="0.35">
      <c r="A812" t="s">
        <v>2195</v>
      </c>
      <c r="B812" s="10" t="s">
        <v>1387</v>
      </c>
      <c r="C812" s="11" t="str">
        <f t="shared" si="12"/>
        <v>January</v>
      </c>
      <c r="D812" t="s">
        <v>822</v>
      </c>
      <c r="E812" t="s">
        <v>2196</v>
      </c>
      <c r="F812" t="s">
        <v>19</v>
      </c>
      <c r="G812" t="s">
        <v>57</v>
      </c>
      <c r="H812" t="s">
        <v>29</v>
      </c>
      <c r="I812" t="s">
        <v>110</v>
      </c>
      <c r="J812">
        <v>3</v>
      </c>
      <c r="K812" s="4">
        <v>701.46</v>
      </c>
      <c r="L812" s="2">
        <v>2104.38</v>
      </c>
      <c r="M812">
        <v>0.05</v>
      </c>
      <c r="N812" s="4">
        <v>855.18</v>
      </c>
      <c r="O812" t="s">
        <v>39</v>
      </c>
      <c r="P812">
        <v>4</v>
      </c>
    </row>
    <row r="813" spans="1:16" x14ac:dyDescent="0.35">
      <c r="A813" t="s">
        <v>2197</v>
      </c>
      <c r="B813" s="10" t="s">
        <v>457</v>
      </c>
      <c r="C813" s="11" t="str">
        <f t="shared" si="12"/>
        <v>June</v>
      </c>
      <c r="D813" t="s">
        <v>330</v>
      </c>
      <c r="E813" t="s">
        <v>2198</v>
      </c>
      <c r="F813" t="s">
        <v>36</v>
      </c>
      <c r="G813" t="s">
        <v>20</v>
      </c>
      <c r="H813" t="s">
        <v>76</v>
      </c>
      <c r="I813" t="s">
        <v>128</v>
      </c>
      <c r="J813">
        <v>7</v>
      </c>
      <c r="K813" s="4">
        <v>920.15</v>
      </c>
      <c r="L813" s="2">
        <v>6441.05</v>
      </c>
      <c r="M813">
        <v>0.3</v>
      </c>
      <c r="N813" s="4">
        <v>1510.24</v>
      </c>
      <c r="O813" t="s">
        <v>31</v>
      </c>
      <c r="P813">
        <v>3</v>
      </c>
    </row>
    <row r="814" spans="1:16" x14ac:dyDescent="0.35">
      <c r="A814" t="s">
        <v>2199</v>
      </c>
      <c r="B814" s="10" t="s">
        <v>1397</v>
      </c>
      <c r="C814" s="11" t="str">
        <f t="shared" si="12"/>
        <v>July</v>
      </c>
      <c r="D814" t="s">
        <v>345</v>
      </c>
      <c r="E814" t="s">
        <v>2200</v>
      </c>
      <c r="F814" t="s">
        <v>44</v>
      </c>
      <c r="G814" t="s">
        <v>20</v>
      </c>
      <c r="H814" t="s">
        <v>76</v>
      </c>
      <c r="I814" t="s">
        <v>177</v>
      </c>
      <c r="J814">
        <v>10</v>
      </c>
      <c r="K814" s="4">
        <v>1098.23</v>
      </c>
      <c r="L814" s="2">
        <v>10982.3</v>
      </c>
      <c r="M814">
        <v>0.2</v>
      </c>
      <c r="N814" s="4">
        <v>1785.48</v>
      </c>
      <c r="O814" t="s">
        <v>23</v>
      </c>
      <c r="P814">
        <v>7</v>
      </c>
    </row>
    <row r="815" spans="1:16" x14ac:dyDescent="0.35">
      <c r="A815" t="s">
        <v>2201</v>
      </c>
      <c r="B815" s="10" t="s">
        <v>2097</v>
      </c>
      <c r="C815" s="11" t="str">
        <f t="shared" si="12"/>
        <v>June</v>
      </c>
      <c r="D815" t="s">
        <v>1448</v>
      </c>
      <c r="E815" t="s">
        <v>2202</v>
      </c>
      <c r="F815" t="s">
        <v>36</v>
      </c>
      <c r="G815" t="s">
        <v>20</v>
      </c>
      <c r="H815" t="s">
        <v>29</v>
      </c>
      <c r="I815" t="s">
        <v>45</v>
      </c>
      <c r="J815">
        <v>2</v>
      </c>
      <c r="K815" s="4">
        <v>408.03</v>
      </c>
      <c r="L815" s="2">
        <v>816.06</v>
      </c>
      <c r="M815">
        <v>0.15</v>
      </c>
      <c r="N815" s="4">
        <v>204.21</v>
      </c>
      <c r="O815" t="s">
        <v>23</v>
      </c>
      <c r="P815">
        <v>9</v>
      </c>
    </row>
    <row r="816" spans="1:16" x14ac:dyDescent="0.35">
      <c r="A816" t="s">
        <v>2203</v>
      </c>
      <c r="B816" s="10" t="s">
        <v>599</v>
      </c>
      <c r="C816" s="11" t="str">
        <f t="shared" si="12"/>
        <v>July</v>
      </c>
      <c r="D816" t="s">
        <v>210</v>
      </c>
      <c r="E816" t="s">
        <v>2204</v>
      </c>
      <c r="F816" t="s">
        <v>36</v>
      </c>
      <c r="G816" t="s">
        <v>37</v>
      </c>
      <c r="H816" t="s">
        <v>29</v>
      </c>
      <c r="I816" t="s">
        <v>30</v>
      </c>
      <c r="J816">
        <v>10</v>
      </c>
      <c r="K816" s="4">
        <v>596.55999999999995</v>
      </c>
      <c r="L816" s="2">
        <v>5965.6</v>
      </c>
      <c r="M816">
        <v>0.05</v>
      </c>
      <c r="N816" s="4">
        <v>2665.91</v>
      </c>
      <c r="O816" t="s">
        <v>39</v>
      </c>
      <c r="P816">
        <v>9</v>
      </c>
    </row>
    <row r="817" spans="1:16" x14ac:dyDescent="0.35">
      <c r="A817" t="s">
        <v>2205</v>
      </c>
      <c r="B817" s="10" t="s">
        <v>116</v>
      </c>
      <c r="C817" s="11" t="str">
        <f t="shared" si="12"/>
        <v>July</v>
      </c>
      <c r="D817" t="s">
        <v>1279</v>
      </c>
      <c r="E817" t="s">
        <v>2206</v>
      </c>
      <c r="F817" t="s">
        <v>36</v>
      </c>
      <c r="G817" t="s">
        <v>20</v>
      </c>
      <c r="H817" t="s">
        <v>29</v>
      </c>
      <c r="I817" t="s">
        <v>45</v>
      </c>
      <c r="J817">
        <v>1</v>
      </c>
      <c r="K817" s="4">
        <v>455.01</v>
      </c>
      <c r="L817" s="2">
        <v>455.01</v>
      </c>
      <c r="M817">
        <v>0</v>
      </c>
      <c r="N817" s="4">
        <v>218.98</v>
      </c>
      <c r="O817" t="s">
        <v>31</v>
      </c>
      <c r="P817">
        <v>9</v>
      </c>
    </row>
    <row r="818" spans="1:16" x14ac:dyDescent="0.35">
      <c r="A818" t="s">
        <v>2207</v>
      </c>
      <c r="B818" s="10" t="s">
        <v>743</v>
      </c>
      <c r="C818" s="11" t="str">
        <f t="shared" si="12"/>
        <v>April</v>
      </c>
      <c r="D818" t="s">
        <v>972</v>
      </c>
      <c r="E818" t="s">
        <v>2208</v>
      </c>
      <c r="F818" t="s">
        <v>44</v>
      </c>
      <c r="G818" t="s">
        <v>28</v>
      </c>
      <c r="H818" t="s">
        <v>76</v>
      </c>
      <c r="I818" t="s">
        <v>128</v>
      </c>
      <c r="J818">
        <v>2</v>
      </c>
      <c r="K818" s="4">
        <v>479.01</v>
      </c>
      <c r="L818" s="2">
        <v>958.02</v>
      </c>
      <c r="M818">
        <v>0.05</v>
      </c>
      <c r="N818" s="4">
        <v>453.26</v>
      </c>
      <c r="O818" t="s">
        <v>31</v>
      </c>
      <c r="P818">
        <v>10</v>
      </c>
    </row>
    <row r="819" spans="1:16" x14ac:dyDescent="0.35">
      <c r="A819" t="s">
        <v>2209</v>
      </c>
      <c r="B819" s="10" t="s">
        <v>1702</v>
      </c>
      <c r="C819" s="11" t="str">
        <f t="shared" si="12"/>
        <v>May</v>
      </c>
      <c r="D819" t="s">
        <v>859</v>
      </c>
      <c r="E819" t="s">
        <v>2210</v>
      </c>
      <c r="F819" t="s">
        <v>36</v>
      </c>
      <c r="G819" t="s">
        <v>37</v>
      </c>
      <c r="H819" t="s">
        <v>21</v>
      </c>
      <c r="I819" t="s">
        <v>38</v>
      </c>
      <c r="J819">
        <v>10</v>
      </c>
      <c r="K819" s="4">
        <v>259.51</v>
      </c>
      <c r="L819" s="2">
        <v>2595.1</v>
      </c>
      <c r="M819">
        <v>0.3</v>
      </c>
      <c r="N819" s="4">
        <v>501.49</v>
      </c>
      <c r="O819" t="s">
        <v>39</v>
      </c>
      <c r="P819">
        <v>2</v>
      </c>
    </row>
    <row r="820" spans="1:16" x14ac:dyDescent="0.35">
      <c r="A820" t="s">
        <v>2211</v>
      </c>
      <c r="B820" s="10" t="s">
        <v>2212</v>
      </c>
      <c r="C820" s="11" t="str">
        <f t="shared" si="12"/>
        <v>August</v>
      </c>
      <c r="D820" t="s">
        <v>55</v>
      </c>
      <c r="E820" t="s">
        <v>2213</v>
      </c>
      <c r="F820" t="s">
        <v>19</v>
      </c>
      <c r="G820" t="s">
        <v>20</v>
      </c>
      <c r="H820" t="s">
        <v>76</v>
      </c>
      <c r="I820" t="s">
        <v>177</v>
      </c>
      <c r="J820">
        <v>4</v>
      </c>
      <c r="K820" s="4">
        <v>640.51</v>
      </c>
      <c r="L820" s="2">
        <v>2562.04</v>
      </c>
      <c r="M820">
        <v>0.2</v>
      </c>
      <c r="N820" s="4">
        <v>406.45</v>
      </c>
      <c r="O820" t="s">
        <v>23</v>
      </c>
      <c r="P820">
        <v>2</v>
      </c>
    </row>
    <row r="821" spans="1:16" x14ac:dyDescent="0.35">
      <c r="A821" t="s">
        <v>2214</v>
      </c>
      <c r="B821" s="10" t="s">
        <v>956</v>
      </c>
      <c r="C821" s="11" t="str">
        <f t="shared" si="12"/>
        <v>July</v>
      </c>
      <c r="D821" t="s">
        <v>618</v>
      </c>
      <c r="E821" t="s">
        <v>2215</v>
      </c>
      <c r="F821" t="s">
        <v>36</v>
      </c>
      <c r="G821" t="s">
        <v>28</v>
      </c>
      <c r="H821" t="s">
        <v>76</v>
      </c>
      <c r="I821" t="s">
        <v>128</v>
      </c>
      <c r="J821">
        <v>6</v>
      </c>
      <c r="K821" s="4">
        <v>846.37</v>
      </c>
      <c r="L821" s="2">
        <v>5078.22</v>
      </c>
      <c r="M821">
        <v>0.3</v>
      </c>
      <c r="N821" s="4">
        <v>828.48</v>
      </c>
      <c r="O821" t="s">
        <v>31</v>
      </c>
      <c r="P821">
        <v>3</v>
      </c>
    </row>
    <row r="822" spans="1:16" x14ac:dyDescent="0.35">
      <c r="A822" t="s">
        <v>2216</v>
      </c>
      <c r="B822" s="10" t="s">
        <v>1148</v>
      </c>
      <c r="C822" s="11" t="str">
        <f t="shared" si="12"/>
        <v>October</v>
      </c>
      <c r="D822" t="s">
        <v>1639</v>
      </c>
      <c r="E822" t="s">
        <v>2217</v>
      </c>
      <c r="F822" t="s">
        <v>44</v>
      </c>
      <c r="G822" t="s">
        <v>20</v>
      </c>
      <c r="H822" t="s">
        <v>21</v>
      </c>
      <c r="I822" t="s">
        <v>82</v>
      </c>
      <c r="J822">
        <v>8</v>
      </c>
      <c r="K822" s="4">
        <v>473.9</v>
      </c>
      <c r="L822" s="2">
        <v>3791.2</v>
      </c>
      <c r="M822">
        <v>0.3</v>
      </c>
      <c r="N822" s="4">
        <v>1264.8800000000001</v>
      </c>
      <c r="O822" t="s">
        <v>31</v>
      </c>
      <c r="P822">
        <v>3</v>
      </c>
    </row>
    <row r="823" spans="1:16" x14ac:dyDescent="0.35">
      <c r="A823" t="s">
        <v>2218</v>
      </c>
      <c r="B823" s="10" t="s">
        <v>1434</v>
      </c>
      <c r="C823" s="11" t="str">
        <f t="shared" si="12"/>
        <v>April</v>
      </c>
      <c r="D823" t="s">
        <v>1201</v>
      </c>
      <c r="E823" t="s">
        <v>2219</v>
      </c>
      <c r="F823" t="s">
        <v>44</v>
      </c>
      <c r="G823" t="s">
        <v>20</v>
      </c>
      <c r="H823" t="s">
        <v>76</v>
      </c>
      <c r="I823" t="s">
        <v>177</v>
      </c>
      <c r="J823">
        <v>5</v>
      </c>
      <c r="K823" s="4">
        <v>806.66</v>
      </c>
      <c r="L823" s="2">
        <v>4033.3</v>
      </c>
      <c r="M823">
        <v>0</v>
      </c>
      <c r="N823" s="4">
        <v>1092.1500000000001</v>
      </c>
      <c r="O823" t="s">
        <v>39</v>
      </c>
      <c r="P823">
        <v>2</v>
      </c>
    </row>
    <row r="824" spans="1:16" x14ac:dyDescent="0.35">
      <c r="A824" t="s">
        <v>2220</v>
      </c>
      <c r="B824" s="10" t="s">
        <v>359</v>
      </c>
      <c r="C824" s="11" t="str">
        <f t="shared" si="12"/>
        <v>September</v>
      </c>
      <c r="D824" t="s">
        <v>367</v>
      </c>
      <c r="E824" t="s">
        <v>2221</v>
      </c>
      <c r="F824" t="s">
        <v>44</v>
      </c>
      <c r="G824" t="s">
        <v>20</v>
      </c>
      <c r="H824" t="s">
        <v>29</v>
      </c>
      <c r="I824" t="s">
        <v>100</v>
      </c>
      <c r="J824">
        <v>6</v>
      </c>
      <c r="K824" s="4">
        <v>503.91</v>
      </c>
      <c r="L824" s="2">
        <v>3023.46</v>
      </c>
      <c r="M824">
        <v>0.05</v>
      </c>
      <c r="N824" s="4">
        <v>1289.3499999999999</v>
      </c>
      <c r="O824" t="s">
        <v>31</v>
      </c>
      <c r="P824">
        <v>8</v>
      </c>
    </row>
    <row r="825" spans="1:16" x14ac:dyDescent="0.35">
      <c r="A825" t="s">
        <v>2222</v>
      </c>
      <c r="B825" s="10" t="s">
        <v>562</v>
      </c>
      <c r="C825" s="11" t="str">
        <f t="shared" si="12"/>
        <v>May</v>
      </c>
      <c r="D825" t="s">
        <v>493</v>
      </c>
      <c r="E825" t="s">
        <v>2223</v>
      </c>
      <c r="F825" t="s">
        <v>19</v>
      </c>
      <c r="G825" t="s">
        <v>37</v>
      </c>
      <c r="H825" t="s">
        <v>76</v>
      </c>
      <c r="I825" t="s">
        <v>87</v>
      </c>
      <c r="J825">
        <v>7</v>
      </c>
      <c r="K825" s="4">
        <v>1029.81</v>
      </c>
      <c r="L825" s="2">
        <v>7208.67</v>
      </c>
      <c r="M825">
        <v>0.15</v>
      </c>
      <c r="N825" s="4">
        <v>3277.47</v>
      </c>
      <c r="O825" t="s">
        <v>39</v>
      </c>
      <c r="P825">
        <v>8</v>
      </c>
    </row>
    <row r="826" spans="1:16" x14ac:dyDescent="0.35">
      <c r="A826" t="s">
        <v>2224</v>
      </c>
      <c r="B826" s="10" t="s">
        <v>102</v>
      </c>
      <c r="C826" s="11" t="str">
        <f t="shared" si="12"/>
        <v>August</v>
      </c>
      <c r="D826" t="s">
        <v>574</v>
      </c>
      <c r="E826" t="s">
        <v>2225</v>
      </c>
      <c r="F826" t="s">
        <v>44</v>
      </c>
      <c r="G826" t="s">
        <v>57</v>
      </c>
      <c r="H826" t="s">
        <v>76</v>
      </c>
      <c r="I826" t="s">
        <v>128</v>
      </c>
      <c r="J826">
        <v>2</v>
      </c>
      <c r="K826" s="4">
        <v>117.41</v>
      </c>
      <c r="L826" s="2">
        <v>234.82</v>
      </c>
      <c r="M826">
        <v>0.3</v>
      </c>
      <c r="N826" s="4">
        <v>74.47</v>
      </c>
      <c r="O826" t="s">
        <v>31</v>
      </c>
      <c r="P826">
        <v>3</v>
      </c>
    </row>
    <row r="827" spans="1:16" x14ac:dyDescent="0.35">
      <c r="A827" t="s">
        <v>2226</v>
      </c>
      <c r="B827" s="10" t="s">
        <v>956</v>
      </c>
      <c r="C827" s="11" t="str">
        <f t="shared" si="12"/>
        <v>July</v>
      </c>
      <c r="D827" t="s">
        <v>506</v>
      </c>
      <c r="E827" t="s">
        <v>2227</v>
      </c>
      <c r="F827" t="s">
        <v>36</v>
      </c>
      <c r="G827" t="s">
        <v>20</v>
      </c>
      <c r="H827" t="s">
        <v>29</v>
      </c>
      <c r="I827" t="s">
        <v>100</v>
      </c>
      <c r="J827">
        <v>2</v>
      </c>
      <c r="K827" s="4">
        <v>229.14</v>
      </c>
      <c r="L827" s="2">
        <v>458.28</v>
      </c>
      <c r="M827">
        <v>0</v>
      </c>
      <c r="N827" s="4">
        <v>154.05000000000001</v>
      </c>
      <c r="O827" t="s">
        <v>23</v>
      </c>
      <c r="P827">
        <v>5</v>
      </c>
    </row>
    <row r="828" spans="1:16" x14ac:dyDescent="0.35">
      <c r="A828" t="s">
        <v>2228</v>
      </c>
      <c r="B828" s="10" t="s">
        <v>1619</v>
      </c>
      <c r="C828" s="11" t="str">
        <f t="shared" si="12"/>
        <v>December</v>
      </c>
      <c r="D828" t="s">
        <v>270</v>
      </c>
      <c r="E828" t="s">
        <v>2229</v>
      </c>
      <c r="F828" t="s">
        <v>36</v>
      </c>
      <c r="G828" t="s">
        <v>28</v>
      </c>
      <c r="H828" t="s">
        <v>29</v>
      </c>
      <c r="I828" t="s">
        <v>45</v>
      </c>
      <c r="J828">
        <v>6</v>
      </c>
      <c r="K828" s="4">
        <v>229.97</v>
      </c>
      <c r="L828" s="2">
        <v>1379.82</v>
      </c>
      <c r="M828">
        <v>0.3</v>
      </c>
      <c r="N828" s="4">
        <v>517.91999999999996</v>
      </c>
      <c r="O828" t="s">
        <v>23</v>
      </c>
      <c r="P828">
        <v>1</v>
      </c>
    </row>
    <row r="829" spans="1:16" x14ac:dyDescent="0.35">
      <c r="A829" t="s">
        <v>2230</v>
      </c>
      <c r="B829" s="10" t="s">
        <v>2231</v>
      </c>
      <c r="C829" s="11" t="str">
        <f t="shared" si="12"/>
        <v>November</v>
      </c>
      <c r="D829" t="s">
        <v>482</v>
      </c>
      <c r="E829" t="s">
        <v>2232</v>
      </c>
      <c r="F829" t="s">
        <v>36</v>
      </c>
      <c r="G829" t="s">
        <v>28</v>
      </c>
      <c r="H829" t="s">
        <v>21</v>
      </c>
      <c r="I829" t="s">
        <v>71</v>
      </c>
      <c r="J829">
        <v>2</v>
      </c>
      <c r="K829" s="4">
        <v>480.93</v>
      </c>
      <c r="L829" s="2">
        <v>961.86</v>
      </c>
      <c r="M829">
        <v>0.1</v>
      </c>
      <c r="N829" s="4">
        <v>322.38</v>
      </c>
      <c r="O829" t="s">
        <v>31</v>
      </c>
      <c r="P829">
        <v>4</v>
      </c>
    </row>
    <row r="830" spans="1:16" x14ac:dyDescent="0.35">
      <c r="A830" t="s">
        <v>2233</v>
      </c>
      <c r="B830" s="10" t="s">
        <v>1156</v>
      </c>
      <c r="C830" s="11" t="str">
        <f t="shared" si="12"/>
        <v>January</v>
      </c>
      <c r="D830" t="s">
        <v>245</v>
      </c>
      <c r="E830" t="s">
        <v>2234</v>
      </c>
      <c r="F830" t="s">
        <v>36</v>
      </c>
      <c r="G830" t="s">
        <v>20</v>
      </c>
      <c r="H830" t="s">
        <v>76</v>
      </c>
      <c r="I830" t="s">
        <v>119</v>
      </c>
      <c r="J830">
        <v>4</v>
      </c>
      <c r="K830" s="4">
        <v>127.84</v>
      </c>
      <c r="L830" s="2">
        <v>511.36</v>
      </c>
      <c r="M830">
        <v>0.15</v>
      </c>
      <c r="N830" s="4">
        <v>234.2</v>
      </c>
      <c r="O830" t="s">
        <v>31</v>
      </c>
      <c r="P830">
        <v>2</v>
      </c>
    </row>
    <row r="831" spans="1:16" x14ac:dyDescent="0.35">
      <c r="A831" t="s">
        <v>2235</v>
      </c>
      <c r="B831" s="10" t="s">
        <v>1875</v>
      </c>
      <c r="C831" s="11" t="str">
        <f t="shared" si="12"/>
        <v>June</v>
      </c>
      <c r="D831" t="s">
        <v>712</v>
      </c>
      <c r="E831" t="s">
        <v>2236</v>
      </c>
      <c r="F831" t="s">
        <v>19</v>
      </c>
      <c r="G831" t="s">
        <v>37</v>
      </c>
      <c r="H831" t="s">
        <v>21</v>
      </c>
      <c r="I831" t="s">
        <v>105</v>
      </c>
      <c r="J831">
        <v>3</v>
      </c>
      <c r="K831" s="4">
        <v>71.930000000000007</v>
      </c>
      <c r="L831" s="2">
        <v>215.79</v>
      </c>
      <c r="M831">
        <v>0.2</v>
      </c>
      <c r="N831" s="4">
        <v>87.51</v>
      </c>
      <c r="O831" t="s">
        <v>23</v>
      </c>
      <c r="P831">
        <v>4</v>
      </c>
    </row>
    <row r="832" spans="1:16" x14ac:dyDescent="0.35">
      <c r="A832" t="s">
        <v>2237</v>
      </c>
      <c r="B832" s="10" t="s">
        <v>634</v>
      </c>
      <c r="C832" s="11" t="str">
        <f t="shared" si="12"/>
        <v>June</v>
      </c>
      <c r="D832" t="s">
        <v>500</v>
      </c>
      <c r="E832" t="s">
        <v>2238</v>
      </c>
      <c r="F832" t="s">
        <v>36</v>
      </c>
      <c r="G832" t="s">
        <v>28</v>
      </c>
      <c r="H832" t="s">
        <v>21</v>
      </c>
      <c r="I832" t="s">
        <v>82</v>
      </c>
      <c r="J832">
        <v>7</v>
      </c>
      <c r="K832" s="4">
        <v>162.55000000000001</v>
      </c>
      <c r="L832" s="2">
        <v>1137.8499999999999</v>
      </c>
      <c r="M832">
        <v>0.05</v>
      </c>
      <c r="N832" s="4">
        <v>548.74</v>
      </c>
      <c r="O832" t="s">
        <v>23</v>
      </c>
      <c r="P832">
        <v>6</v>
      </c>
    </row>
    <row r="833" spans="1:16" x14ac:dyDescent="0.35">
      <c r="A833" t="s">
        <v>2239</v>
      </c>
      <c r="B833" s="10" t="s">
        <v>1916</v>
      </c>
      <c r="C833" s="11" t="str">
        <f t="shared" si="12"/>
        <v>May</v>
      </c>
      <c r="D833" t="s">
        <v>937</v>
      </c>
      <c r="E833" t="s">
        <v>2240</v>
      </c>
      <c r="F833" t="s">
        <v>19</v>
      </c>
      <c r="G833" t="s">
        <v>57</v>
      </c>
      <c r="H833" t="s">
        <v>29</v>
      </c>
      <c r="I833" t="s">
        <v>45</v>
      </c>
      <c r="J833">
        <v>4</v>
      </c>
      <c r="K833" s="4">
        <v>561.36</v>
      </c>
      <c r="L833" s="2">
        <v>2245.44</v>
      </c>
      <c r="M833">
        <v>0</v>
      </c>
      <c r="N833" s="4">
        <v>644.03</v>
      </c>
      <c r="O833" t="s">
        <v>31</v>
      </c>
      <c r="P833">
        <v>2</v>
      </c>
    </row>
    <row r="834" spans="1:16" x14ac:dyDescent="0.35">
      <c r="A834" t="s">
        <v>2241</v>
      </c>
      <c r="B834" s="10" t="s">
        <v>16</v>
      </c>
      <c r="C834" s="11" t="str">
        <f t="shared" si="12"/>
        <v>February</v>
      </c>
      <c r="D834" t="s">
        <v>286</v>
      </c>
      <c r="E834" t="s">
        <v>2242</v>
      </c>
      <c r="F834" t="s">
        <v>19</v>
      </c>
      <c r="G834" t="s">
        <v>37</v>
      </c>
      <c r="H834" t="s">
        <v>29</v>
      </c>
      <c r="I834" t="s">
        <v>45</v>
      </c>
      <c r="J834">
        <v>5</v>
      </c>
      <c r="K834" s="4">
        <v>925.7</v>
      </c>
      <c r="L834" s="2">
        <v>4628.5</v>
      </c>
      <c r="M834">
        <v>0.15</v>
      </c>
      <c r="N834" s="4">
        <v>616.73</v>
      </c>
      <c r="O834" t="s">
        <v>39</v>
      </c>
      <c r="P834">
        <v>2</v>
      </c>
    </row>
    <row r="835" spans="1:16" x14ac:dyDescent="0.35">
      <c r="A835" t="s">
        <v>2243</v>
      </c>
      <c r="B835" s="10" t="s">
        <v>1017</v>
      </c>
      <c r="C835" s="11" t="str">
        <f t="shared" ref="C835:C898" si="13">TEXT(B835,"MMMM")</f>
        <v>March</v>
      </c>
      <c r="D835" t="s">
        <v>159</v>
      </c>
      <c r="E835" t="s">
        <v>2244</v>
      </c>
      <c r="F835" t="s">
        <v>19</v>
      </c>
      <c r="G835" t="s">
        <v>57</v>
      </c>
      <c r="H835" t="s">
        <v>21</v>
      </c>
      <c r="I835" t="s">
        <v>38</v>
      </c>
      <c r="J835">
        <v>7</v>
      </c>
      <c r="K835" s="4">
        <v>819.92</v>
      </c>
      <c r="L835" s="2">
        <v>5739.44</v>
      </c>
      <c r="M835">
        <v>0.3</v>
      </c>
      <c r="N835" s="4">
        <v>1996.06</v>
      </c>
      <c r="O835" t="s">
        <v>23</v>
      </c>
      <c r="P835">
        <v>8</v>
      </c>
    </row>
    <row r="836" spans="1:16" x14ac:dyDescent="0.35">
      <c r="A836" t="s">
        <v>2245</v>
      </c>
      <c r="B836" s="10" t="s">
        <v>2246</v>
      </c>
      <c r="C836" s="11" t="str">
        <f t="shared" si="13"/>
        <v>September</v>
      </c>
      <c r="D836" t="s">
        <v>163</v>
      </c>
      <c r="E836" t="s">
        <v>2247</v>
      </c>
      <c r="F836" t="s">
        <v>19</v>
      </c>
      <c r="G836" t="s">
        <v>37</v>
      </c>
      <c r="H836" t="s">
        <v>29</v>
      </c>
      <c r="I836" t="s">
        <v>110</v>
      </c>
      <c r="J836">
        <v>1</v>
      </c>
      <c r="K836" s="4">
        <v>738.07</v>
      </c>
      <c r="L836" s="2">
        <v>738.07</v>
      </c>
      <c r="M836">
        <v>0.2</v>
      </c>
      <c r="N836" s="4">
        <v>218.73</v>
      </c>
      <c r="O836" t="s">
        <v>23</v>
      </c>
      <c r="P836">
        <v>10</v>
      </c>
    </row>
    <row r="837" spans="1:16" x14ac:dyDescent="0.35">
      <c r="A837" t="s">
        <v>2248</v>
      </c>
      <c r="B837" s="10" t="s">
        <v>582</v>
      </c>
      <c r="C837" s="11" t="str">
        <f t="shared" si="13"/>
        <v>August</v>
      </c>
      <c r="D837" t="s">
        <v>413</v>
      </c>
      <c r="E837" t="s">
        <v>2249</v>
      </c>
      <c r="F837" t="s">
        <v>36</v>
      </c>
      <c r="G837" t="s">
        <v>20</v>
      </c>
      <c r="H837" t="s">
        <v>21</v>
      </c>
      <c r="I837" t="s">
        <v>22</v>
      </c>
      <c r="J837">
        <v>4</v>
      </c>
      <c r="K837" s="4">
        <v>45.03</v>
      </c>
      <c r="L837" s="2">
        <v>180.12</v>
      </c>
      <c r="M837">
        <v>0</v>
      </c>
      <c r="N837" s="4">
        <v>76.81</v>
      </c>
      <c r="O837" t="s">
        <v>31</v>
      </c>
      <c r="P837">
        <v>3</v>
      </c>
    </row>
    <row r="838" spans="1:16" x14ac:dyDescent="0.35">
      <c r="A838" t="s">
        <v>2250</v>
      </c>
      <c r="B838" s="10" t="s">
        <v>423</v>
      </c>
      <c r="C838" s="11" t="str">
        <f t="shared" si="13"/>
        <v>January</v>
      </c>
      <c r="D838" t="s">
        <v>444</v>
      </c>
      <c r="E838" t="s">
        <v>2251</v>
      </c>
      <c r="F838" t="s">
        <v>19</v>
      </c>
      <c r="G838" t="s">
        <v>28</v>
      </c>
      <c r="H838" t="s">
        <v>76</v>
      </c>
      <c r="I838" t="s">
        <v>128</v>
      </c>
      <c r="J838">
        <v>5</v>
      </c>
      <c r="K838" s="4">
        <v>258.37</v>
      </c>
      <c r="L838" s="2">
        <v>1291.8499999999999</v>
      </c>
      <c r="M838">
        <v>0.15</v>
      </c>
      <c r="N838" s="4">
        <v>514.16999999999996</v>
      </c>
      <c r="O838" t="s">
        <v>23</v>
      </c>
      <c r="P838">
        <v>6</v>
      </c>
    </row>
    <row r="839" spans="1:16" x14ac:dyDescent="0.35">
      <c r="A839" t="s">
        <v>2252</v>
      </c>
      <c r="B839" s="10" t="s">
        <v>1816</v>
      </c>
      <c r="C839" s="11" t="str">
        <f t="shared" si="13"/>
        <v>August</v>
      </c>
      <c r="D839" t="s">
        <v>353</v>
      </c>
      <c r="E839" t="s">
        <v>2253</v>
      </c>
      <c r="F839" t="s">
        <v>44</v>
      </c>
      <c r="G839" t="s">
        <v>20</v>
      </c>
      <c r="H839" t="s">
        <v>29</v>
      </c>
      <c r="I839" t="s">
        <v>110</v>
      </c>
      <c r="J839">
        <v>6</v>
      </c>
      <c r="K839" s="4">
        <v>779.45</v>
      </c>
      <c r="L839" s="2">
        <v>4676.7</v>
      </c>
      <c r="M839">
        <v>0</v>
      </c>
      <c r="N839" s="4">
        <v>1597.8</v>
      </c>
      <c r="O839" t="s">
        <v>31</v>
      </c>
      <c r="P839">
        <v>6</v>
      </c>
    </row>
    <row r="840" spans="1:16" x14ac:dyDescent="0.35">
      <c r="A840" t="s">
        <v>2254</v>
      </c>
      <c r="B840" s="10" t="s">
        <v>158</v>
      </c>
      <c r="C840" s="11" t="str">
        <f t="shared" si="13"/>
        <v>December</v>
      </c>
      <c r="D840" t="s">
        <v>1514</v>
      </c>
      <c r="E840" t="s">
        <v>2255</v>
      </c>
      <c r="F840" t="s">
        <v>19</v>
      </c>
      <c r="G840" t="s">
        <v>37</v>
      </c>
      <c r="H840" t="s">
        <v>76</v>
      </c>
      <c r="I840" t="s">
        <v>119</v>
      </c>
      <c r="J840">
        <v>4</v>
      </c>
      <c r="K840" s="4">
        <v>656.39</v>
      </c>
      <c r="L840" s="2">
        <v>2625.56</v>
      </c>
      <c r="M840">
        <v>0.3</v>
      </c>
      <c r="N840" s="4">
        <v>284.23</v>
      </c>
      <c r="O840" t="s">
        <v>23</v>
      </c>
      <c r="P840">
        <v>7</v>
      </c>
    </row>
    <row r="841" spans="1:16" x14ac:dyDescent="0.35">
      <c r="A841" t="s">
        <v>2256</v>
      </c>
      <c r="B841" s="10" t="s">
        <v>1076</v>
      </c>
      <c r="C841" s="11" t="str">
        <f t="shared" si="13"/>
        <v>September</v>
      </c>
      <c r="D841" t="s">
        <v>48</v>
      </c>
      <c r="E841" t="s">
        <v>2257</v>
      </c>
      <c r="F841" t="s">
        <v>36</v>
      </c>
      <c r="G841" t="s">
        <v>20</v>
      </c>
      <c r="H841" t="s">
        <v>21</v>
      </c>
      <c r="I841" t="s">
        <v>38</v>
      </c>
      <c r="J841">
        <v>3</v>
      </c>
      <c r="K841" s="4">
        <v>541.99</v>
      </c>
      <c r="L841" s="2">
        <v>1625.97</v>
      </c>
      <c r="M841">
        <v>0</v>
      </c>
      <c r="N841" s="4">
        <v>852.26</v>
      </c>
      <c r="O841" t="s">
        <v>23</v>
      </c>
      <c r="P841">
        <v>3</v>
      </c>
    </row>
    <row r="842" spans="1:16" x14ac:dyDescent="0.35">
      <c r="A842" t="s">
        <v>2258</v>
      </c>
      <c r="B842" s="10" t="s">
        <v>1240</v>
      </c>
      <c r="C842" s="11" t="str">
        <f t="shared" si="13"/>
        <v>April</v>
      </c>
      <c r="D842" t="s">
        <v>444</v>
      </c>
      <c r="E842" t="s">
        <v>2259</v>
      </c>
      <c r="F842" t="s">
        <v>19</v>
      </c>
      <c r="G842" t="s">
        <v>20</v>
      </c>
      <c r="H842" t="s">
        <v>29</v>
      </c>
      <c r="I842" t="s">
        <v>224</v>
      </c>
      <c r="J842">
        <v>2</v>
      </c>
      <c r="K842" s="4">
        <v>224.94</v>
      </c>
      <c r="L842" s="2">
        <v>449.88</v>
      </c>
      <c r="M842">
        <v>0.2</v>
      </c>
      <c r="N842" s="4">
        <v>78.28</v>
      </c>
      <c r="O842" t="s">
        <v>39</v>
      </c>
      <c r="P842">
        <v>8</v>
      </c>
    </row>
    <row r="843" spans="1:16" x14ac:dyDescent="0.35">
      <c r="A843" t="s">
        <v>2260</v>
      </c>
      <c r="B843" s="10" t="s">
        <v>2097</v>
      </c>
      <c r="C843" s="11" t="str">
        <f t="shared" si="13"/>
        <v>June</v>
      </c>
      <c r="D843" t="s">
        <v>391</v>
      </c>
      <c r="E843" t="s">
        <v>2261</v>
      </c>
      <c r="F843" t="s">
        <v>19</v>
      </c>
      <c r="G843" t="s">
        <v>28</v>
      </c>
      <c r="H843" t="s">
        <v>76</v>
      </c>
      <c r="I843" t="s">
        <v>119</v>
      </c>
      <c r="J843">
        <v>4</v>
      </c>
      <c r="K843" s="4">
        <v>309.01</v>
      </c>
      <c r="L843" s="2">
        <v>1236.04</v>
      </c>
      <c r="M843">
        <v>0.05</v>
      </c>
      <c r="N843" s="4">
        <v>361.27</v>
      </c>
      <c r="O843" t="s">
        <v>23</v>
      </c>
      <c r="P843">
        <v>4</v>
      </c>
    </row>
    <row r="844" spans="1:16" x14ac:dyDescent="0.35">
      <c r="A844" t="s">
        <v>2262</v>
      </c>
      <c r="B844" s="10" t="s">
        <v>605</v>
      </c>
      <c r="C844" s="11" t="str">
        <f t="shared" si="13"/>
        <v>March</v>
      </c>
      <c r="D844" t="s">
        <v>374</v>
      </c>
      <c r="E844" t="s">
        <v>2263</v>
      </c>
      <c r="F844" t="s">
        <v>44</v>
      </c>
      <c r="G844" t="s">
        <v>28</v>
      </c>
      <c r="H844" t="s">
        <v>76</v>
      </c>
      <c r="I844" t="s">
        <v>128</v>
      </c>
      <c r="J844">
        <v>2</v>
      </c>
      <c r="K844" s="4">
        <v>1142.2</v>
      </c>
      <c r="L844" s="2">
        <v>2284.4</v>
      </c>
      <c r="M844">
        <v>0.1</v>
      </c>
      <c r="N844" s="4">
        <v>803.27</v>
      </c>
      <c r="O844" t="s">
        <v>23</v>
      </c>
      <c r="P844">
        <v>10</v>
      </c>
    </row>
    <row r="845" spans="1:16" x14ac:dyDescent="0.35">
      <c r="A845" t="s">
        <v>2264</v>
      </c>
      <c r="B845" s="10" t="s">
        <v>1397</v>
      </c>
      <c r="C845" s="11" t="str">
        <f t="shared" si="13"/>
        <v>July</v>
      </c>
      <c r="D845" t="s">
        <v>227</v>
      </c>
      <c r="E845" t="s">
        <v>2265</v>
      </c>
      <c r="F845" t="s">
        <v>36</v>
      </c>
      <c r="G845" t="s">
        <v>57</v>
      </c>
      <c r="H845" t="s">
        <v>21</v>
      </c>
      <c r="I845" t="s">
        <v>82</v>
      </c>
      <c r="J845">
        <v>3</v>
      </c>
      <c r="K845" s="4">
        <v>987.13</v>
      </c>
      <c r="L845" s="2">
        <v>2961.39</v>
      </c>
      <c r="M845">
        <v>0.15</v>
      </c>
      <c r="N845" s="4">
        <v>1364.5</v>
      </c>
      <c r="O845" t="s">
        <v>23</v>
      </c>
      <c r="P845">
        <v>9</v>
      </c>
    </row>
    <row r="846" spans="1:16" x14ac:dyDescent="0.35">
      <c r="A846" t="s">
        <v>2266</v>
      </c>
      <c r="B846" s="10" t="s">
        <v>2267</v>
      </c>
      <c r="C846" s="11" t="str">
        <f t="shared" si="13"/>
        <v>May</v>
      </c>
      <c r="D846" t="s">
        <v>866</v>
      </c>
      <c r="E846" t="s">
        <v>2268</v>
      </c>
      <c r="F846" t="s">
        <v>19</v>
      </c>
      <c r="G846" t="s">
        <v>28</v>
      </c>
      <c r="H846" t="s">
        <v>29</v>
      </c>
      <c r="I846" t="s">
        <v>100</v>
      </c>
      <c r="J846">
        <v>3</v>
      </c>
      <c r="K846" s="4">
        <v>323.60000000000002</v>
      </c>
      <c r="L846" s="2">
        <v>970.8</v>
      </c>
      <c r="M846">
        <v>0.15</v>
      </c>
      <c r="N846" s="4">
        <v>352.9</v>
      </c>
      <c r="O846" t="s">
        <v>31</v>
      </c>
      <c r="P846">
        <v>6</v>
      </c>
    </row>
    <row r="847" spans="1:16" x14ac:dyDescent="0.35">
      <c r="A847" t="s">
        <v>2269</v>
      </c>
      <c r="B847" s="10" t="s">
        <v>1525</v>
      </c>
      <c r="C847" s="11" t="str">
        <f t="shared" si="13"/>
        <v>September</v>
      </c>
      <c r="D847" t="s">
        <v>42</v>
      </c>
      <c r="E847" t="s">
        <v>2270</v>
      </c>
      <c r="F847" t="s">
        <v>19</v>
      </c>
      <c r="G847" t="s">
        <v>57</v>
      </c>
      <c r="H847" t="s">
        <v>29</v>
      </c>
      <c r="I847" t="s">
        <v>62</v>
      </c>
      <c r="J847">
        <v>8</v>
      </c>
      <c r="K847" s="4">
        <v>250.94</v>
      </c>
      <c r="L847" s="2">
        <v>2007.52</v>
      </c>
      <c r="M847">
        <v>0.05</v>
      </c>
      <c r="N847" s="4">
        <v>1045.74</v>
      </c>
      <c r="O847" t="s">
        <v>39</v>
      </c>
      <c r="P847">
        <v>7</v>
      </c>
    </row>
    <row r="848" spans="1:16" x14ac:dyDescent="0.35">
      <c r="A848" t="s">
        <v>2271</v>
      </c>
      <c r="B848" s="10" t="s">
        <v>1086</v>
      </c>
      <c r="C848" s="11" t="str">
        <f t="shared" si="13"/>
        <v>October</v>
      </c>
      <c r="D848" t="s">
        <v>108</v>
      </c>
      <c r="E848" t="s">
        <v>2272</v>
      </c>
      <c r="F848" t="s">
        <v>44</v>
      </c>
      <c r="G848" t="s">
        <v>20</v>
      </c>
      <c r="H848" t="s">
        <v>76</v>
      </c>
      <c r="I848" t="s">
        <v>128</v>
      </c>
      <c r="J848">
        <v>6</v>
      </c>
      <c r="K848" s="4">
        <v>473.16</v>
      </c>
      <c r="L848" s="2">
        <v>2838.96</v>
      </c>
      <c r="M848">
        <v>0.1</v>
      </c>
      <c r="N848" s="4">
        <v>750.12</v>
      </c>
      <c r="O848" t="s">
        <v>31</v>
      </c>
      <c r="P848">
        <v>7</v>
      </c>
    </row>
    <row r="849" spans="1:16" x14ac:dyDescent="0.35">
      <c r="A849" t="s">
        <v>2273</v>
      </c>
      <c r="B849" s="10" t="s">
        <v>513</v>
      </c>
      <c r="C849" s="11" t="str">
        <f t="shared" si="13"/>
        <v>June</v>
      </c>
      <c r="D849" t="s">
        <v>898</v>
      </c>
      <c r="E849" t="s">
        <v>2274</v>
      </c>
      <c r="F849" t="s">
        <v>19</v>
      </c>
      <c r="G849" t="s">
        <v>28</v>
      </c>
      <c r="H849" t="s">
        <v>21</v>
      </c>
      <c r="I849" t="s">
        <v>105</v>
      </c>
      <c r="J849">
        <v>4</v>
      </c>
      <c r="K849" s="4">
        <v>920.28</v>
      </c>
      <c r="L849" s="2">
        <v>3681.12</v>
      </c>
      <c r="M849">
        <v>0.1</v>
      </c>
      <c r="N849" s="4">
        <v>800.06</v>
      </c>
      <c r="O849" t="s">
        <v>23</v>
      </c>
      <c r="P849">
        <v>6</v>
      </c>
    </row>
    <row r="850" spans="1:16" x14ac:dyDescent="0.35">
      <c r="A850" t="s">
        <v>2275</v>
      </c>
      <c r="B850" s="10" t="s">
        <v>1421</v>
      </c>
      <c r="C850" s="11" t="str">
        <f t="shared" si="13"/>
        <v>September</v>
      </c>
      <c r="D850" t="s">
        <v>611</v>
      </c>
      <c r="E850" t="s">
        <v>2276</v>
      </c>
      <c r="F850" t="s">
        <v>44</v>
      </c>
      <c r="G850" t="s">
        <v>20</v>
      </c>
      <c r="H850" t="s">
        <v>21</v>
      </c>
      <c r="I850" t="s">
        <v>22</v>
      </c>
      <c r="J850">
        <v>7</v>
      </c>
      <c r="K850" s="4">
        <v>1113.29</v>
      </c>
      <c r="L850" s="2">
        <v>7793.03</v>
      </c>
      <c r="M850">
        <v>0.3</v>
      </c>
      <c r="N850" s="4">
        <v>2461.8000000000002</v>
      </c>
      <c r="O850" t="s">
        <v>23</v>
      </c>
      <c r="P850">
        <v>3</v>
      </c>
    </row>
    <row r="851" spans="1:16" x14ac:dyDescent="0.35">
      <c r="A851" t="s">
        <v>2277</v>
      </c>
      <c r="B851" s="10" t="s">
        <v>539</v>
      </c>
      <c r="C851" s="11" t="str">
        <f t="shared" si="13"/>
        <v>November</v>
      </c>
      <c r="D851" t="s">
        <v>206</v>
      </c>
      <c r="E851" t="s">
        <v>2278</v>
      </c>
      <c r="F851" t="s">
        <v>19</v>
      </c>
      <c r="G851" t="s">
        <v>37</v>
      </c>
      <c r="H851" t="s">
        <v>76</v>
      </c>
      <c r="I851" t="s">
        <v>177</v>
      </c>
      <c r="J851">
        <v>8</v>
      </c>
      <c r="K851" s="4">
        <v>1134.23</v>
      </c>
      <c r="L851" s="2">
        <v>9073.84</v>
      </c>
      <c r="M851">
        <v>0.05</v>
      </c>
      <c r="N851" s="4">
        <v>3864.28</v>
      </c>
      <c r="O851" t="s">
        <v>31</v>
      </c>
      <c r="P851">
        <v>2</v>
      </c>
    </row>
    <row r="852" spans="1:16" x14ac:dyDescent="0.35">
      <c r="A852" t="s">
        <v>2279</v>
      </c>
      <c r="B852" s="10" t="s">
        <v>2280</v>
      </c>
      <c r="C852" s="11" t="str">
        <f t="shared" si="13"/>
        <v>February</v>
      </c>
      <c r="D852" t="s">
        <v>103</v>
      </c>
      <c r="E852" t="s">
        <v>2281</v>
      </c>
      <c r="F852" t="s">
        <v>36</v>
      </c>
      <c r="G852" t="s">
        <v>28</v>
      </c>
      <c r="H852" t="s">
        <v>29</v>
      </c>
      <c r="I852" t="s">
        <v>62</v>
      </c>
      <c r="J852">
        <v>7</v>
      </c>
      <c r="K852" s="4">
        <v>489.25</v>
      </c>
      <c r="L852" s="2">
        <v>3424.75</v>
      </c>
      <c r="M852">
        <v>0.2</v>
      </c>
      <c r="N852" s="4">
        <v>439.3</v>
      </c>
      <c r="O852" t="s">
        <v>31</v>
      </c>
      <c r="P852">
        <v>7</v>
      </c>
    </row>
    <row r="853" spans="1:16" x14ac:dyDescent="0.35">
      <c r="A853" t="s">
        <v>2282</v>
      </c>
      <c r="B853" s="10" t="s">
        <v>705</v>
      </c>
      <c r="C853" s="11" t="str">
        <f t="shared" si="13"/>
        <v>October</v>
      </c>
      <c r="D853" t="s">
        <v>324</v>
      </c>
      <c r="E853" t="s">
        <v>2283</v>
      </c>
      <c r="F853" t="s">
        <v>19</v>
      </c>
      <c r="G853" t="s">
        <v>28</v>
      </c>
      <c r="H853" t="s">
        <v>76</v>
      </c>
      <c r="I853" t="s">
        <v>87</v>
      </c>
      <c r="J853">
        <v>9</v>
      </c>
      <c r="K853" s="4">
        <v>1161.8699999999999</v>
      </c>
      <c r="L853" s="2">
        <v>10456.83</v>
      </c>
      <c r="M853">
        <v>0.3</v>
      </c>
      <c r="N853" s="4">
        <v>1429.84</v>
      </c>
      <c r="O853" t="s">
        <v>23</v>
      </c>
      <c r="P853">
        <v>2</v>
      </c>
    </row>
    <row r="854" spans="1:16" x14ac:dyDescent="0.35">
      <c r="A854" t="s">
        <v>2284</v>
      </c>
      <c r="B854" s="10" t="s">
        <v>2285</v>
      </c>
      <c r="C854" s="11" t="str">
        <f t="shared" si="13"/>
        <v>May</v>
      </c>
      <c r="D854" t="s">
        <v>417</v>
      </c>
      <c r="E854" t="s">
        <v>2286</v>
      </c>
      <c r="F854" t="s">
        <v>36</v>
      </c>
      <c r="G854" t="s">
        <v>28</v>
      </c>
      <c r="H854" t="s">
        <v>29</v>
      </c>
      <c r="I854" t="s">
        <v>62</v>
      </c>
      <c r="J854">
        <v>10</v>
      </c>
      <c r="K854" s="4">
        <v>936.5</v>
      </c>
      <c r="L854" s="2">
        <v>9365</v>
      </c>
      <c r="M854">
        <v>0.1</v>
      </c>
      <c r="N854" s="4">
        <v>1890.59</v>
      </c>
      <c r="O854" t="s">
        <v>23</v>
      </c>
      <c r="P854">
        <v>5</v>
      </c>
    </row>
    <row r="855" spans="1:16" x14ac:dyDescent="0.35">
      <c r="A855" t="s">
        <v>2287</v>
      </c>
      <c r="B855" s="10" t="s">
        <v>643</v>
      </c>
      <c r="C855" s="11" t="str">
        <f t="shared" si="13"/>
        <v>August</v>
      </c>
      <c r="D855" t="s">
        <v>685</v>
      </c>
      <c r="E855" t="s">
        <v>2288</v>
      </c>
      <c r="F855" t="s">
        <v>44</v>
      </c>
      <c r="G855" t="s">
        <v>57</v>
      </c>
      <c r="H855" t="s">
        <v>29</v>
      </c>
      <c r="I855" t="s">
        <v>224</v>
      </c>
      <c r="J855">
        <v>8</v>
      </c>
      <c r="K855" s="4">
        <v>21.86</v>
      </c>
      <c r="L855" s="2">
        <v>174.88</v>
      </c>
      <c r="M855">
        <v>0</v>
      </c>
      <c r="N855" s="4">
        <v>42.06</v>
      </c>
      <c r="O855" t="s">
        <v>23</v>
      </c>
      <c r="P855">
        <v>7</v>
      </c>
    </row>
    <row r="856" spans="1:16" x14ac:dyDescent="0.35">
      <c r="A856" t="s">
        <v>2289</v>
      </c>
      <c r="B856" s="10" t="s">
        <v>2290</v>
      </c>
      <c r="C856" s="11" t="str">
        <f t="shared" si="13"/>
        <v>April</v>
      </c>
      <c r="D856" t="s">
        <v>85</v>
      </c>
      <c r="E856" t="s">
        <v>2291</v>
      </c>
      <c r="F856" t="s">
        <v>36</v>
      </c>
      <c r="G856" t="s">
        <v>28</v>
      </c>
      <c r="H856" t="s">
        <v>29</v>
      </c>
      <c r="I856" t="s">
        <v>224</v>
      </c>
      <c r="J856">
        <v>6</v>
      </c>
      <c r="K856" s="4">
        <v>239.95</v>
      </c>
      <c r="L856" s="2">
        <v>1439.7</v>
      </c>
      <c r="M856">
        <v>0.05</v>
      </c>
      <c r="N856" s="4">
        <v>643.91</v>
      </c>
      <c r="O856" t="s">
        <v>23</v>
      </c>
      <c r="P856">
        <v>4</v>
      </c>
    </row>
    <row r="857" spans="1:16" x14ac:dyDescent="0.35">
      <c r="A857" t="s">
        <v>2292</v>
      </c>
      <c r="B857" s="10" t="s">
        <v>1216</v>
      </c>
      <c r="C857" s="11" t="str">
        <f t="shared" si="13"/>
        <v>July</v>
      </c>
      <c r="D857" t="s">
        <v>406</v>
      </c>
      <c r="E857" t="s">
        <v>2293</v>
      </c>
      <c r="F857" t="s">
        <v>19</v>
      </c>
      <c r="G857" t="s">
        <v>20</v>
      </c>
      <c r="H857" t="s">
        <v>29</v>
      </c>
      <c r="I857" t="s">
        <v>224</v>
      </c>
      <c r="J857">
        <v>1</v>
      </c>
      <c r="K857" s="4">
        <v>904.9</v>
      </c>
      <c r="L857" s="2">
        <v>904.9</v>
      </c>
      <c r="M857">
        <v>0.05</v>
      </c>
      <c r="N857" s="4">
        <v>383.63</v>
      </c>
      <c r="O857" t="s">
        <v>23</v>
      </c>
      <c r="P857">
        <v>3</v>
      </c>
    </row>
    <row r="858" spans="1:16" x14ac:dyDescent="0.35">
      <c r="A858" t="s">
        <v>2294</v>
      </c>
      <c r="B858" s="10" t="s">
        <v>2295</v>
      </c>
      <c r="C858" s="11" t="str">
        <f t="shared" si="13"/>
        <v>January</v>
      </c>
      <c r="D858" t="s">
        <v>681</v>
      </c>
      <c r="E858" t="s">
        <v>2296</v>
      </c>
      <c r="F858" t="s">
        <v>36</v>
      </c>
      <c r="G858" t="s">
        <v>28</v>
      </c>
      <c r="H858" t="s">
        <v>29</v>
      </c>
      <c r="I858" t="s">
        <v>110</v>
      </c>
      <c r="J858">
        <v>2</v>
      </c>
      <c r="K858" s="4">
        <v>465.72</v>
      </c>
      <c r="L858" s="2">
        <v>931.44</v>
      </c>
      <c r="M858">
        <v>0.1</v>
      </c>
      <c r="N858" s="4">
        <v>439.51</v>
      </c>
      <c r="O858" t="s">
        <v>39</v>
      </c>
      <c r="P858">
        <v>2</v>
      </c>
    </row>
    <row r="859" spans="1:16" x14ac:dyDescent="0.35">
      <c r="A859" t="s">
        <v>2297</v>
      </c>
      <c r="B859" s="10" t="s">
        <v>2155</v>
      </c>
      <c r="C859" s="11" t="str">
        <f t="shared" si="13"/>
        <v>January</v>
      </c>
      <c r="D859" t="s">
        <v>1639</v>
      </c>
      <c r="E859" t="s">
        <v>2298</v>
      </c>
      <c r="F859" t="s">
        <v>36</v>
      </c>
      <c r="G859" t="s">
        <v>20</v>
      </c>
      <c r="H859" t="s">
        <v>29</v>
      </c>
      <c r="I859" t="s">
        <v>30</v>
      </c>
      <c r="J859">
        <v>5</v>
      </c>
      <c r="K859" s="4">
        <v>907.12</v>
      </c>
      <c r="L859" s="2">
        <v>4535.6000000000004</v>
      </c>
      <c r="M859">
        <v>0</v>
      </c>
      <c r="N859" s="4">
        <v>1287.53</v>
      </c>
      <c r="O859" t="s">
        <v>39</v>
      </c>
      <c r="P859">
        <v>10</v>
      </c>
    </row>
    <row r="860" spans="1:16" x14ac:dyDescent="0.35">
      <c r="A860" t="s">
        <v>2299</v>
      </c>
      <c r="B860" s="10" t="s">
        <v>252</v>
      </c>
      <c r="C860" s="11" t="str">
        <f t="shared" si="13"/>
        <v>June</v>
      </c>
      <c r="D860" t="s">
        <v>52</v>
      </c>
      <c r="E860" t="s">
        <v>2300</v>
      </c>
      <c r="F860" t="s">
        <v>19</v>
      </c>
      <c r="G860" t="s">
        <v>57</v>
      </c>
      <c r="H860" t="s">
        <v>21</v>
      </c>
      <c r="I860" t="s">
        <v>38</v>
      </c>
      <c r="J860">
        <v>8</v>
      </c>
      <c r="K860" s="4">
        <v>578.41</v>
      </c>
      <c r="L860" s="2">
        <v>4627.28</v>
      </c>
      <c r="M860">
        <v>0.1</v>
      </c>
      <c r="N860" s="4">
        <v>1283.73</v>
      </c>
      <c r="O860" t="s">
        <v>39</v>
      </c>
      <c r="P860">
        <v>4</v>
      </c>
    </row>
    <row r="861" spans="1:16" x14ac:dyDescent="0.35">
      <c r="A861" t="s">
        <v>2301</v>
      </c>
      <c r="B861" s="10" t="s">
        <v>149</v>
      </c>
      <c r="C861" s="11" t="str">
        <f t="shared" si="13"/>
        <v>February</v>
      </c>
      <c r="D861" t="s">
        <v>583</v>
      </c>
      <c r="E861" t="s">
        <v>2302</v>
      </c>
      <c r="F861" t="s">
        <v>44</v>
      </c>
      <c r="G861" t="s">
        <v>28</v>
      </c>
      <c r="H861" t="s">
        <v>76</v>
      </c>
      <c r="I861" t="s">
        <v>128</v>
      </c>
      <c r="J861">
        <v>7</v>
      </c>
      <c r="K861" s="4">
        <v>740.75</v>
      </c>
      <c r="L861" s="2">
        <v>5185.25</v>
      </c>
      <c r="M861">
        <v>0.1</v>
      </c>
      <c r="N861" s="4">
        <v>936.93</v>
      </c>
      <c r="O861" t="s">
        <v>23</v>
      </c>
      <c r="P861">
        <v>3</v>
      </c>
    </row>
    <row r="862" spans="1:16" x14ac:dyDescent="0.35">
      <c r="A862" t="s">
        <v>2303</v>
      </c>
      <c r="B862" s="10" t="s">
        <v>2304</v>
      </c>
      <c r="C862" s="11" t="str">
        <f t="shared" si="13"/>
        <v>May</v>
      </c>
      <c r="D862" t="s">
        <v>52</v>
      </c>
      <c r="E862" t="s">
        <v>2305</v>
      </c>
      <c r="F862" t="s">
        <v>44</v>
      </c>
      <c r="G862" t="s">
        <v>28</v>
      </c>
      <c r="H862" t="s">
        <v>29</v>
      </c>
      <c r="I862" t="s">
        <v>100</v>
      </c>
      <c r="J862">
        <v>2</v>
      </c>
      <c r="K862" s="4">
        <v>1045.43</v>
      </c>
      <c r="L862" s="2">
        <v>2090.86</v>
      </c>
      <c r="M862">
        <v>0.1</v>
      </c>
      <c r="N862" s="4">
        <v>319.10000000000002</v>
      </c>
      <c r="O862" t="s">
        <v>23</v>
      </c>
      <c r="P862">
        <v>7</v>
      </c>
    </row>
    <row r="863" spans="1:16" x14ac:dyDescent="0.35">
      <c r="A863" t="s">
        <v>2306</v>
      </c>
      <c r="B863" s="10" t="s">
        <v>1392</v>
      </c>
      <c r="C863" s="11" t="str">
        <f t="shared" si="13"/>
        <v>July</v>
      </c>
      <c r="D863" t="s">
        <v>367</v>
      </c>
      <c r="E863" t="s">
        <v>2307</v>
      </c>
      <c r="F863" t="s">
        <v>19</v>
      </c>
      <c r="G863" t="s">
        <v>57</v>
      </c>
      <c r="H863" t="s">
        <v>21</v>
      </c>
      <c r="I863" t="s">
        <v>105</v>
      </c>
      <c r="J863">
        <v>1</v>
      </c>
      <c r="K863" s="4">
        <v>1183.69</v>
      </c>
      <c r="L863" s="2">
        <v>1183.69</v>
      </c>
      <c r="M863">
        <v>0.1</v>
      </c>
      <c r="N863" s="4">
        <v>578.84</v>
      </c>
      <c r="O863" t="s">
        <v>23</v>
      </c>
      <c r="P863">
        <v>8</v>
      </c>
    </row>
    <row r="864" spans="1:16" x14ac:dyDescent="0.35">
      <c r="A864" t="s">
        <v>2308</v>
      </c>
      <c r="B864" s="10" t="s">
        <v>513</v>
      </c>
      <c r="C864" s="11" t="str">
        <f t="shared" si="13"/>
        <v>June</v>
      </c>
      <c r="D864" t="s">
        <v>227</v>
      </c>
      <c r="E864" t="s">
        <v>2309</v>
      </c>
      <c r="F864" t="s">
        <v>44</v>
      </c>
      <c r="G864" t="s">
        <v>20</v>
      </c>
      <c r="H864" t="s">
        <v>29</v>
      </c>
      <c r="I864" t="s">
        <v>100</v>
      </c>
      <c r="J864">
        <v>8</v>
      </c>
      <c r="K864" s="4">
        <v>492.19</v>
      </c>
      <c r="L864" s="2">
        <v>3937.52</v>
      </c>
      <c r="M864">
        <v>0.2</v>
      </c>
      <c r="N864" s="4">
        <v>732.11</v>
      </c>
      <c r="O864" t="s">
        <v>23</v>
      </c>
      <c r="P864">
        <v>7</v>
      </c>
    </row>
    <row r="865" spans="1:16" x14ac:dyDescent="0.35">
      <c r="A865" t="s">
        <v>2310</v>
      </c>
      <c r="B865" s="10" t="s">
        <v>226</v>
      </c>
      <c r="C865" s="11" t="str">
        <f t="shared" si="13"/>
        <v>September</v>
      </c>
      <c r="D865" t="s">
        <v>611</v>
      </c>
      <c r="E865" t="s">
        <v>2311</v>
      </c>
      <c r="F865" t="s">
        <v>36</v>
      </c>
      <c r="G865" t="s">
        <v>28</v>
      </c>
      <c r="H865" t="s">
        <v>76</v>
      </c>
      <c r="I865" t="s">
        <v>177</v>
      </c>
      <c r="J865">
        <v>4</v>
      </c>
      <c r="K865" s="4">
        <v>860.09</v>
      </c>
      <c r="L865" s="2">
        <v>3440.36</v>
      </c>
      <c r="M865">
        <v>0.2</v>
      </c>
      <c r="N865" s="4">
        <v>549.1</v>
      </c>
      <c r="O865" t="s">
        <v>31</v>
      </c>
      <c r="P865">
        <v>5</v>
      </c>
    </row>
    <row r="866" spans="1:16" x14ac:dyDescent="0.35">
      <c r="A866" t="s">
        <v>2312</v>
      </c>
      <c r="B866" s="10" t="s">
        <v>475</v>
      </c>
      <c r="C866" s="11" t="str">
        <f t="shared" si="13"/>
        <v>September</v>
      </c>
      <c r="D866" t="s">
        <v>691</v>
      </c>
      <c r="E866" t="s">
        <v>2313</v>
      </c>
      <c r="F866" t="s">
        <v>19</v>
      </c>
      <c r="G866" t="s">
        <v>37</v>
      </c>
      <c r="H866" t="s">
        <v>21</v>
      </c>
      <c r="I866" t="s">
        <v>71</v>
      </c>
      <c r="J866">
        <v>8</v>
      </c>
      <c r="K866" s="4">
        <v>218.3</v>
      </c>
      <c r="L866" s="2">
        <v>1746.4</v>
      </c>
      <c r="M866">
        <v>0.15</v>
      </c>
      <c r="N866" s="4">
        <v>249.36</v>
      </c>
      <c r="O866" t="s">
        <v>31</v>
      </c>
      <c r="P866">
        <v>4</v>
      </c>
    </row>
    <row r="867" spans="1:16" x14ac:dyDescent="0.35">
      <c r="A867" t="s">
        <v>2314</v>
      </c>
      <c r="B867" s="10" t="s">
        <v>1875</v>
      </c>
      <c r="C867" s="11" t="str">
        <f t="shared" si="13"/>
        <v>June</v>
      </c>
      <c r="D867" t="s">
        <v>1159</v>
      </c>
      <c r="E867" t="s">
        <v>2315</v>
      </c>
      <c r="F867" t="s">
        <v>44</v>
      </c>
      <c r="G867" t="s">
        <v>37</v>
      </c>
      <c r="H867" t="s">
        <v>29</v>
      </c>
      <c r="I867" t="s">
        <v>62</v>
      </c>
      <c r="J867">
        <v>2</v>
      </c>
      <c r="K867" s="4">
        <v>144.44999999999999</v>
      </c>
      <c r="L867" s="2">
        <v>288.89999999999998</v>
      </c>
      <c r="M867">
        <v>0.3</v>
      </c>
      <c r="N867" s="4">
        <v>108.86</v>
      </c>
      <c r="O867" t="s">
        <v>23</v>
      </c>
      <c r="P867">
        <v>5</v>
      </c>
    </row>
    <row r="868" spans="1:16" x14ac:dyDescent="0.35">
      <c r="A868" t="s">
        <v>2316</v>
      </c>
      <c r="B868" s="10" t="s">
        <v>1076</v>
      </c>
      <c r="C868" s="11" t="str">
        <f t="shared" si="13"/>
        <v>September</v>
      </c>
      <c r="D868" t="s">
        <v>1448</v>
      </c>
      <c r="E868" t="s">
        <v>2317</v>
      </c>
      <c r="F868" t="s">
        <v>19</v>
      </c>
      <c r="G868" t="s">
        <v>57</v>
      </c>
      <c r="H868" t="s">
        <v>21</v>
      </c>
      <c r="I868" t="s">
        <v>82</v>
      </c>
      <c r="J868">
        <v>2</v>
      </c>
      <c r="K868" s="4">
        <v>805.26</v>
      </c>
      <c r="L868" s="2">
        <v>1610.52</v>
      </c>
      <c r="M868">
        <v>0.2</v>
      </c>
      <c r="N868" s="4">
        <v>382.12</v>
      </c>
      <c r="O868" t="s">
        <v>31</v>
      </c>
      <c r="P868">
        <v>10</v>
      </c>
    </row>
    <row r="869" spans="1:16" x14ac:dyDescent="0.35">
      <c r="A869" t="s">
        <v>2318</v>
      </c>
      <c r="B869" s="10" t="s">
        <v>1397</v>
      </c>
      <c r="C869" s="11" t="str">
        <f t="shared" si="13"/>
        <v>July</v>
      </c>
      <c r="D869" t="s">
        <v>702</v>
      </c>
      <c r="E869" t="s">
        <v>2319</v>
      </c>
      <c r="F869" t="s">
        <v>19</v>
      </c>
      <c r="G869" t="s">
        <v>28</v>
      </c>
      <c r="H869" t="s">
        <v>21</v>
      </c>
      <c r="I869" t="s">
        <v>22</v>
      </c>
      <c r="J869">
        <v>6</v>
      </c>
      <c r="K869" s="4">
        <v>464.87</v>
      </c>
      <c r="L869" s="2">
        <v>2789.22</v>
      </c>
      <c r="M869">
        <v>0.3</v>
      </c>
      <c r="N869" s="4">
        <v>493.61</v>
      </c>
      <c r="O869" t="s">
        <v>31</v>
      </c>
      <c r="P869">
        <v>4</v>
      </c>
    </row>
    <row r="870" spans="1:16" x14ac:dyDescent="0.35">
      <c r="A870" t="s">
        <v>2320</v>
      </c>
      <c r="B870" s="10" t="s">
        <v>1732</v>
      </c>
      <c r="C870" s="11" t="str">
        <f t="shared" si="13"/>
        <v>October</v>
      </c>
      <c r="D870" t="s">
        <v>1604</v>
      </c>
      <c r="E870" t="s">
        <v>2321</v>
      </c>
      <c r="F870" t="s">
        <v>19</v>
      </c>
      <c r="G870" t="s">
        <v>20</v>
      </c>
      <c r="H870" t="s">
        <v>76</v>
      </c>
      <c r="I870" t="s">
        <v>77</v>
      </c>
      <c r="J870">
        <v>5</v>
      </c>
      <c r="K870" s="4">
        <v>123.46</v>
      </c>
      <c r="L870" s="2">
        <v>617.29999999999995</v>
      </c>
      <c r="M870">
        <v>0</v>
      </c>
      <c r="N870" s="4">
        <v>255.5</v>
      </c>
      <c r="O870" t="s">
        <v>23</v>
      </c>
      <c r="P870">
        <v>6</v>
      </c>
    </row>
    <row r="871" spans="1:16" x14ac:dyDescent="0.35">
      <c r="A871" t="s">
        <v>2322</v>
      </c>
      <c r="B871" s="10" t="s">
        <v>370</v>
      </c>
      <c r="C871" s="11" t="str">
        <f t="shared" si="13"/>
        <v>October</v>
      </c>
      <c r="D871" t="s">
        <v>122</v>
      </c>
      <c r="E871" t="s">
        <v>2323</v>
      </c>
      <c r="F871" t="s">
        <v>36</v>
      </c>
      <c r="G871" t="s">
        <v>28</v>
      </c>
      <c r="H871" t="s">
        <v>29</v>
      </c>
      <c r="I871" t="s">
        <v>110</v>
      </c>
      <c r="J871">
        <v>7</v>
      </c>
      <c r="K871" s="4">
        <v>700.76</v>
      </c>
      <c r="L871" s="2">
        <v>4905.32</v>
      </c>
      <c r="M871">
        <v>0</v>
      </c>
      <c r="N871" s="4">
        <v>2088.1</v>
      </c>
      <c r="O871" t="s">
        <v>39</v>
      </c>
      <c r="P871">
        <v>6</v>
      </c>
    </row>
    <row r="872" spans="1:16" x14ac:dyDescent="0.35">
      <c r="A872" t="s">
        <v>2324</v>
      </c>
      <c r="B872" s="10" t="s">
        <v>496</v>
      </c>
      <c r="C872" s="11" t="str">
        <f t="shared" si="13"/>
        <v>July</v>
      </c>
      <c r="D872" t="s">
        <v>807</v>
      </c>
      <c r="E872" t="s">
        <v>2325</v>
      </c>
      <c r="F872" t="s">
        <v>19</v>
      </c>
      <c r="G872" t="s">
        <v>28</v>
      </c>
      <c r="H872" t="s">
        <v>76</v>
      </c>
      <c r="I872" t="s">
        <v>119</v>
      </c>
      <c r="J872">
        <v>9</v>
      </c>
      <c r="K872" s="4">
        <v>803.22</v>
      </c>
      <c r="L872" s="2">
        <v>7228.98</v>
      </c>
      <c r="M872">
        <v>0.2</v>
      </c>
      <c r="N872" s="4">
        <v>2666.88</v>
      </c>
      <c r="O872" t="s">
        <v>39</v>
      </c>
      <c r="P872">
        <v>3</v>
      </c>
    </row>
    <row r="873" spans="1:16" x14ac:dyDescent="0.35">
      <c r="A873" t="s">
        <v>2326</v>
      </c>
      <c r="B873" s="10" t="s">
        <v>573</v>
      </c>
      <c r="C873" s="11" t="str">
        <f t="shared" si="13"/>
        <v>March</v>
      </c>
      <c r="D873" t="s">
        <v>417</v>
      </c>
      <c r="E873" t="s">
        <v>2327</v>
      </c>
      <c r="F873" t="s">
        <v>19</v>
      </c>
      <c r="G873" t="s">
        <v>20</v>
      </c>
      <c r="H873" t="s">
        <v>76</v>
      </c>
      <c r="I873" t="s">
        <v>119</v>
      </c>
      <c r="J873">
        <v>8</v>
      </c>
      <c r="K873" s="4">
        <v>822.38</v>
      </c>
      <c r="L873" s="2">
        <v>6579.04</v>
      </c>
      <c r="M873">
        <v>0.05</v>
      </c>
      <c r="N873" s="4">
        <v>1933.86</v>
      </c>
      <c r="O873" t="s">
        <v>23</v>
      </c>
      <c r="P873">
        <v>6</v>
      </c>
    </row>
    <row r="874" spans="1:16" x14ac:dyDescent="0.35">
      <c r="A874" t="s">
        <v>2328</v>
      </c>
      <c r="B874" s="10" t="s">
        <v>536</v>
      </c>
      <c r="C874" s="11" t="str">
        <f t="shared" si="13"/>
        <v>November</v>
      </c>
      <c r="D874" t="s">
        <v>134</v>
      </c>
      <c r="E874" t="s">
        <v>2329</v>
      </c>
      <c r="F874" t="s">
        <v>44</v>
      </c>
      <c r="G874" t="s">
        <v>57</v>
      </c>
      <c r="H874" t="s">
        <v>76</v>
      </c>
      <c r="I874" t="s">
        <v>177</v>
      </c>
      <c r="J874">
        <v>2</v>
      </c>
      <c r="K874" s="4">
        <v>342.67</v>
      </c>
      <c r="L874" s="2">
        <v>685.34</v>
      </c>
      <c r="M874">
        <v>0.3</v>
      </c>
      <c r="N874" s="4">
        <v>153.71</v>
      </c>
      <c r="O874" t="s">
        <v>23</v>
      </c>
      <c r="P874">
        <v>7</v>
      </c>
    </row>
    <row r="875" spans="1:16" x14ac:dyDescent="0.35">
      <c r="A875" t="s">
        <v>2330</v>
      </c>
      <c r="B875" s="10" t="s">
        <v>1083</v>
      </c>
      <c r="C875" s="11" t="str">
        <f t="shared" si="13"/>
        <v>April</v>
      </c>
      <c r="D875" t="s">
        <v>282</v>
      </c>
      <c r="E875" t="s">
        <v>2331</v>
      </c>
      <c r="F875" t="s">
        <v>19</v>
      </c>
      <c r="G875" t="s">
        <v>20</v>
      </c>
      <c r="H875" t="s">
        <v>29</v>
      </c>
      <c r="I875" t="s">
        <v>110</v>
      </c>
      <c r="J875">
        <v>3</v>
      </c>
      <c r="K875" s="4">
        <v>996.9</v>
      </c>
      <c r="L875" s="2">
        <v>2990.7</v>
      </c>
      <c r="M875">
        <v>0.05</v>
      </c>
      <c r="N875" s="4">
        <v>598.84</v>
      </c>
      <c r="O875" t="s">
        <v>31</v>
      </c>
      <c r="P875">
        <v>8</v>
      </c>
    </row>
    <row r="876" spans="1:16" x14ac:dyDescent="0.35">
      <c r="A876" t="s">
        <v>2332</v>
      </c>
      <c r="B876" s="10" t="s">
        <v>1634</v>
      </c>
      <c r="C876" s="11" t="str">
        <f t="shared" si="13"/>
        <v>March</v>
      </c>
      <c r="D876" t="s">
        <v>398</v>
      </c>
      <c r="E876" t="s">
        <v>2333</v>
      </c>
      <c r="F876" t="s">
        <v>19</v>
      </c>
      <c r="G876" t="s">
        <v>28</v>
      </c>
      <c r="H876" t="s">
        <v>21</v>
      </c>
      <c r="I876" t="s">
        <v>82</v>
      </c>
      <c r="J876">
        <v>5</v>
      </c>
      <c r="K876" s="4">
        <v>1181.58</v>
      </c>
      <c r="L876" s="2">
        <v>5907.9</v>
      </c>
      <c r="M876">
        <v>0.3</v>
      </c>
      <c r="N876" s="4">
        <v>765.28</v>
      </c>
      <c r="O876" t="s">
        <v>39</v>
      </c>
      <c r="P876">
        <v>7</v>
      </c>
    </row>
    <row r="877" spans="1:16" x14ac:dyDescent="0.35">
      <c r="A877" t="s">
        <v>2334</v>
      </c>
      <c r="B877" s="10" t="s">
        <v>2189</v>
      </c>
      <c r="C877" s="11" t="str">
        <f t="shared" si="13"/>
        <v>May</v>
      </c>
      <c r="D877" t="s">
        <v>210</v>
      </c>
      <c r="E877" t="s">
        <v>2335</v>
      </c>
      <c r="F877" t="s">
        <v>19</v>
      </c>
      <c r="G877" t="s">
        <v>37</v>
      </c>
      <c r="H877" t="s">
        <v>21</v>
      </c>
      <c r="I877" t="s">
        <v>82</v>
      </c>
      <c r="J877">
        <v>6</v>
      </c>
      <c r="K877" s="4">
        <v>914.1</v>
      </c>
      <c r="L877" s="2">
        <v>5484.6</v>
      </c>
      <c r="M877">
        <v>0.15</v>
      </c>
      <c r="N877" s="4">
        <v>2430.12</v>
      </c>
      <c r="O877" t="s">
        <v>23</v>
      </c>
      <c r="P877">
        <v>9</v>
      </c>
    </row>
    <row r="878" spans="1:16" x14ac:dyDescent="0.35">
      <c r="A878" t="s">
        <v>2336</v>
      </c>
      <c r="B878" s="10" t="s">
        <v>1236</v>
      </c>
      <c r="C878" s="11" t="str">
        <f t="shared" si="13"/>
        <v>January</v>
      </c>
      <c r="D878" t="s">
        <v>349</v>
      </c>
      <c r="E878" t="s">
        <v>2337</v>
      </c>
      <c r="F878" t="s">
        <v>44</v>
      </c>
      <c r="G878" t="s">
        <v>28</v>
      </c>
      <c r="H878" t="s">
        <v>76</v>
      </c>
      <c r="I878" t="s">
        <v>77</v>
      </c>
      <c r="J878">
        <v>3</v>
      </c>
      <c r="K878" s="4">
        <v>401.63</v>
      </c>
      <c r="L878" s="2">
        <v>1204.8900000000001</v>
      </c>
      <c r="M878">
        <v>0.2</v>
      </c>
      <c r="N878" s="4">
        <v>196.31</v>
      </c>
      <c r="O878" t="s">
        <v>23</v>
      </c>
      <c r="P878">
        <v>3</v>
      </c>
    </row>
    <row r="879" spans="1:16" x14ac:dyDescent="0.35">
      <c r="A879" t="s">
        <v>2338</v>
      </c>
      <c r="B879" s="10" t="s">
        <v>1577</v>
      </c>
      <c r="C879" s="11" t="str">
        <f t="shared" si="13"/>
        <v>April</v>
      </c>
      <c r="D879" t="s">
        <v>134</v>
      </c>
      <c r="E879" t="s">
        <v>2339</v>
      </c>
      <c r="F879" t="s">
        <v>19</v>
      </c>
      <c r="G879" t="s">
        <v>37</v>
      </c>
      <c r="H879" t="s">
        <v>21</v>
      </c>
      <c r="I879" t="s">
        <v>105</v>
      </c>
      <c r="J879">
        <v>8</v>
      </c>
      <c r="K879" s="4">
        <v>841.23</v>
      </c>
      <c r="L879" s="2">
        <v>6729.84</v>
      </c>
      <c r="M879">
        <v>0.1</v>
      </c>
      <c r="N879" s="4">
        <v>1157.54</v>
      </c>
      <c r="O879" t="s">
        <v>23</v>
      </c>
      <c r="P879">
        <v>1</v>
      </c>
    </row>
    <row r="880" spans="1:16" x14ac:dyDescent="0.35">
      <c r="A880" t="s">
        <v>2340</v>
      </c>
      <c r="B880" s="10" t="s">
        <v>725</v>
      </c>
      <c r="C880" s="11" t="str">
        <f t="shared" si="13"/>
        <v>August</v>
      </c>
      <c r="D880" t="s">
        <v>17</v>
      </c>
      <c r="E880" t="s">
        <v>2341</v>
      </c>
      <c r="F880" t="s">
        <v>36</v>
      </c>
      <c r="G880" t="s">
        <v>20</v>
      </c>
      <c r="H880" t="s">
        <v>76</v>
      </c>
      <c r="I880" t="s">
        <v>177</v>
      </c>
      <c r="J880">
        <v>2</v>
      </c>
      <c r="K880" s="4">
        <v>820.42</v>
      </c>
      <c r="L880" s="2">
        <v>1640.84</v>
      </c>
      <c r="M880">
        <v>0.05</v>
      </c>
      <c r="N880" s="4">
        <v>622.54999999999995</v>
      </c>
      <c r="O880" t="s">
        <v>31</v>
      </c>
      <c r="P880">
        <v>6</v>
      </c>
    </row>
    <row r="881" spans="1:16" x14ac:dyDescent="0.35">
      <c r="A881" t="s">
        <v>2342</v>
      </c>
      <c r="B881" s="10" t="s">
        <v>1732</v>
      </c>
      <c r="C881" s="11" t="str">
        <f t="shared" si="13"/>
        <v>October</v>
      </c>
      <c r="D881" t="s">
        <v>191</v>
      </c>
      <c r="E881" t="s">
        <v>2343</v>
      </c>
      <c r="F881" t="s">
        <v>36</v>
      </c>
      <c r="G881" t="s">
        <v>28</v>
      </c>
      <c r="H881" t="s">
        <v>76</v>
      </c>
      <c r="I881" t="s">
        <v>119</v>
      </c>
      <c r="J881">
        <v>1</v>
      </c>
      <c r="K881" s="4">
        <v>158.47</v>
      </c>
      <c r="L881" s="2">
        <v>158.47</v>
      </c>
      <c r="M881">
        <v>0.2</v>
      </c>
      <c r="N881" s="4">
        <v>36.76</v>
      </c>
      <c r="O881" t="s">
        <v>31</v>
      </c>
      <c r="P881">
        <v>1</v>
      </c>
    </row>
    <row r="882" spans="1:16" x14ac:dyDescent="0.35">
      <c r="A882" t="s">
        <v>2344</v>
      </c>
      <c r="B882" s="10" t="s">
        <v>1225</v>
      </c>
      <c r="C882" s="11" t="str">
        <f t="shared" si="13"/>
        <v>March</v>
      </c>
      <c r="D882" t="s">
        <v>702</v>
      </c>
      <c r="E882" t="s">
        <v>2345</v>
      </c>
      <c r="F882" t="s">
        <v>19</v>
      </c>
      <c r="G882" t="s">
        <v>28</v>
      </c>
      <c r="H882" t="s">
        <v>29</v>
      </c>
      <c r="I882" t="s">
        <v>224</v>
      </c>
      <c r="J882">
        <v>7</v>
      </c>
      <c r="K882" s="4">
        <v>596.58000000000004</v>
      </c>
      <c r="L882" s="2">
        <v>4176.0600000000004</v>
      </c>
      <c r="M882">
        <v>0.3</v>
      </c>
      <c r="N882" s="4">
        <v>910.7</v>
      </c>
      <c r="O882" t="s">
        <v>23</v>
      </c>
      <c r="P882">
        <v>2</v>
      </c>
    </row>
    <row r="883" spans="1:16" x14ac:dyDescent="0.35">
      <c r="A883" t="s">
        <v>2346</v>
      </c>
      <c r="B883" s="10" t="s">
        <v>991</v>
      </c>
      <c r="C883" s="11" t="str">
        <f t="shared" si="13"/>
        <v>March</v>
      </c>
      <c r="D883" t="s">
        <v>493</v>
      </c>
      <c r="E883" t="s">
        <v>2347</v>
      </c>
      <c r="F883" t="s">
        <v>36</v>
      </c>
      <c r="G883" t="s">
        <v>20</v>
      </c>
      <c r="H883" t="s">
        <v>76</v>
      </c>
      <c r="I883" t="s">
        <v>128</v>
      </c>
      <c r="J883">
        <v>5</v>
      </c>
      <c r="K883" s="4">
        <v>766.15</v>
      </c>
      <c r="L883" s="2">
        <v>3830.75</v>
      </c>
      <c r="M883">
        <v>0.15</v>
      </c>
      <c r="N883" s="4">
        <v>1312.45</v>
      </c>
      <c r="O883" t="s">
        <v>39</v>
      </c>
      <c r="P883">
        <v>9</v>
      </c>
    </row>
    <row r="884" spans="1:16" x14ac:dyDescent="0.35">
      <c r="A884" t="s">
        <v>2348</v>
      </c>
      <c r="B884" s="10" t="s">
        <v>1508</v>
      </c>
      <c r="C884" s="11" t="str">
        <f t="shared" si="13"/>
        <v>December</v>
      </c>
      <c r="D884" t="s">
        <v>468</v>
      </c>
      <c r="E884" t="s">
        <v>2349</v>
      </c>
      <c r="F884" t="s">
        <v>36</v>
      </c>
      <c r="G884" t="s">
        <v>37</v>
      </c>
      <c r="H884" t="s">
        <v>29</v>
      </c>
      <c r="I884" t="s">
        <v>30</v>
      </c>
      <c r="J884">
        <v>10</v>
      </c>
      <c r="K884" s="4">
        <v>696.12</v>
      </c>
      <c r="L884" s="2">
        <v>6961.2</v>
      </c>
      <c r="M884">
        <v>0.2</v>
      </c>
      <c r="N884" s="4">
        <v>1994.81</v>
      </c>
      <c r="O884" t="s">
        <v>39</v>
      </c>
      <c r="P884">
        <v>8</v>
      </c>
    </row>
    <row r="885" spans="1:16" x14ac:dyDescent="0.35">
      <c r="A885" t="s">
        <v>2350</v>
      </c>
      <c r="B885" s="10" t="s">
        <v>194</v>
      </c>
      <c r="C885" s="11" t="str">
        <f t="shared" si="13"/>
        <v>October</v>
      </c>
      <c r="D885" t="s">
        <v>1431</v>
      </c>
      <c r="E885" t="s">
        <v>2351</v>
      </c>
      <c r="F885" t="s">
        <v>44</v>
      </c>
      <c r="G885" t="s">
        <v>20</v>
      </c>
      <c r="H885" t="s">
        <v>21</v>
      </c>
      <c r="I885" t="s">
        <v>82</v>
      </c>
      <c r="J885">
        <v>5</v>
      </c>
      <c r="K885" s="4">
        <v>694.28</v>
      </c>
      <c r="L885" s="2">
        <v>3471.4</v>
      </c>
      <c r="M885">
        <v>0</v>
      </c>
      <c r="N885" s="4">
        <v>1457.67</v>
      </c>
      <c r="O885" t="s">
        <v>39</v>
      </c>
      <c r="P885">
        <v>9</v>
      </c>
    </row>
    <row r="886" spans="1:16" x14ac:dyDescent="0.35">
      <c r="A886" t="s">
        <v>2352</v>
      </c>
      <c r="B886" s="10" t="s">
        <v>460</v>
      </c>
      <c r="C886" s="11" t="str">
        <f t="shared" si="13"/>
        <v>November</v>
      </c>
      <c r="D886" t="s">
        <v>2353</v>
      </c>
      <c r="E886" t="s">
        <v>2354</v>
      </c>
      <c r="F886" t="s">
        <v>36</v>
      </c>
      <c r="G886" t="s">
        <v>20</v>
      </c>
      <c r="H886" t="s">
        <v>21</v>
      </c>
      <c r="I886" t="s">
        <v>71</v>
      </c>
      <c r="J886">
        <v>8</v>
      </c>
      <c r="K886" s="4">
        <v>95.44</v>
      </c>
      <c r="L886" s="2">
        <v>763.52</v>
      </c>
      <c r="M886">
        <v>0.2</v>
      </c>
      <c r="N886" s="4">
        <v>204.26</v>
      </c>
      <c r="O886" t="s">
        <v>31</v>
      </c>
      <c r="P886">
        <v>10</v>
      </c>
    </row>
    <row r="887" spans="1:16" x14ac:dyDescent="0.35">
      <c r="A887" t="s">
        <v>2355</v>
      </c>
      <c r="B887" s="10" t="s">
        <v>1966</v>
      </c>
      <c r="C887" s="11" t="str">
        <f t="shared" si="13"/>
        <v>March</v>
      </c>
      <c r="D887" t="s">
        <v>890</v>
      </c>
      <c r="E887" t="s">
        <v>2356</v>
      </c>
      <c r="F887" t="s">
        <v>36</v>
      </c>
      <c r="G887" t="s">
        <v>37</v>
      </c>
      <c r="H887" t="s">
        <v>21</v>
      </c>
      <c r="I887" t="s">
        <v>105</v>
      </c>
      <c r="J887">
        <v>1</v>
      </c>
      <c r="K887" s="4">
        <v>674.57</v>
      </c>
      <c r="L887" s="2">
        <v>674.57</v>
      </c>
      <c r="M887">
        <v>0.1</v>
      </c>
      <c r="N887" s="4">
        <v>304.02999999999997</v>
      </c>
      <c r="O887" t="s">
        <v>31</v>
      </c>
      <c r="P887">
        <v>9</v>
      </c>
    </row>
    <row r="888" spans="1:16" x14ac:dyDescent="0.35">
      <c r="A888" t="s">
        <v>2357</v>
      </c>
      <c r="B888" s="10" t="s">
        <v>1256</v>
      </c>
      <c r="C888" s="11" t="str">
        <f t="shared" si="13"/>
        <v>October</v>
      </c>
      <c r="D888" t="s">
        <v>506</v>
      </c>
      <c r="E888" t="s">
        <v>2358</v>
      </c>
      <c r="F888" t="s">
        <v>44</v>
      </c>
      <c r="G888" t="s">
        <v>20</v>
      </c>
      <c r="H888" t="s">
        <v>76</v>
      </c>
      <c r="I888" t="s">
        <v>77</v>
      </c>
      <c r="J888">
        <v>2</v>
      </c>
      <c r="K888" s="4">
        <v>1176.32</v>
      </c>
      <c r="L888" s="2">
        <v>2352.64</v>
      </c>
      <c r="M888">
        <v>0.2</v>
      </c>
      <c r="N888" s="4">
        <v>810.38</v>
      </c>
      <c r="O888" t="s">
        <v>31</v>
      </c>
      <c r="P888">
        <v>5</v>
      </c>
    </row>
    <row r="889" spans="1:16" x14ac:dyDescent="0.35">
      <c r="A889" t="s">
        <v>2359</v>
      </c>
      <c r="B889" s="10" t="s">
        <v>1076</v>
      </c>
      <c r="C889" s="11" t="str">
        <f t="shared" si="13"/>
        <v>September</v>
      </c>
      <c r="D889" t="s">
        <v>863</v>
      </c>
      <c r="E889" t="s">
        <v>2360</v>
      </c>
      <c r="F889" t="s">
        <v>44</v>
      </c>
      <c r="G889" t="s">
        <v>57</v>
      </c>
      <c r="H889" t="s">
        <v>29</v>
      </c>
      <c r="I889" t="s">
        <v>100</v>
      </c>
      <c r="J889">
        <v>5</v>
      </c>
      <c r="K889" s="4">
        <v>797.81</v>
      </c>
      <c r="L889" s="2">
        <v>3989.05</v>
      </c>
      <c r="M889">
        <v>0.15</v>
      </c>
      <c r="N889" s="4">
        <v>1675.2</v>
      </c>
      <c r="O889" t="s">
        <v>23</v>
      </c>
      <c r="P889">
        <v>9</v>
      </c>
    </row>
    <row r="890" spans="1:16" x14ac:dyDescent="0.35">
      <c r="A890" t="s">
        <v>2361</v>
      </c>
      <c r="B890" s="10" t="s">
        <v>1334</v>
      </c>
      <c r="C890" s="11" t="str">
        <f t="shared" si="13"/>
        <v>April</v>
      </c>
      <c r="D890" t="s">
        <v>1841</v>
      </c>
      <c r="E890" t="s">
        <v>2362</v>
      </c>
      <c r="F890" t="s">
        <v>44</v>
      </c>
      <c r="G890" t="s">
        <v>37</v>
      </c>
      <c r="H890" t="s">
        <v>21</v>
      </c>
      <c r="I890" t="s">
        <v>105</v>
      </c>
      <c r="J890">
        <v>2</v>
      </c>
      <c r="K890" s="4">
        <v>801.89</v>
      </c>
      <c r="L890" s="2">
        <v>1603.78</v>
      </c>
      <c r="M890">
        <v>0</v>
      </c>
      <c r="N890" s="4">
        <v>729.98</v>
      </c>
      <c r="O890" t="s">
        <v>31</v>
      </c>
      <c r="P890">
        <v>10</v>
      </c>
    </row>
    <row r="891" spans="1:16" x14ac:dyDescent="0.35">
      <c r="A891" t="s">
        <v>2363</v>
      </c>
      <c r="B891" s="10" t="s">
        <v>749</v>
      </c>
      <c r="C891" s="11" t="str">
        <f t="shared" si="13"/>
        <v>August</v>
      </c>
      <c r="D891" t="s">
        <v>266</v>
      </c>
      <c r="E891" t="s">
        <v>2364</v>
      </c>
      <c r="F891" t="s">
        <v>19</v>
      </c>
      <c r="G891" t="s">
        <v>57</v>
      </c>
      <c r="H891" t="s">
        <v>21</v>
      </c>
      <c r="I891" t="s">
        <v>105</v>
      </c>
      <c r="J891">
        <v>10</v>
      </c>
      <c r="K891" s="4">
        <v>443.7</v>
      </c>
      <c r="L891" s="2">
        <v>4437</v>
      </c>
      <c r="M891">
        <v>0.05</v>
      </c>
      <c r="N891" s="4">
        <v>1089.02</v>
      </c>
      <c r="O891" t="s">
        <v>39</v>
      </c>
      <c r="P891">
        <v>7</v>
      </c>
    </row>
    <row r="892" spans="1:16" x14ac:dyDescent="0.35">
      <c r="A892" t="s">
        <v>2365</v>
      </c>
      <c r="B892" s="10" t="s">
        <v>1508</v>
      </c>
      <c r="C892" s="11" t="str">
        <f t="shared" si="13"/>
        <v>December</v>
      </c>
      <c r="D892" t="s">
        <v>1841</v>
      </c>
      <c r="E892" t="s">
        <v>2366</v>
      </c>
      <c r="F892" t="s">
        <v>19</v>
      </c>
      <c r="G892" t="s">
        <v>37</v>
      </c>
      <c r="H892" t="s">
        <v>21</v>
      </c>
      <c r="I892" t="s">
        <v>105</v>
      </c>
      <c r="J892">
        <v>7</v>
      </c>
      <c r="K892" s="4">
        <v>558.16</v>
      </c>
      <c r="L892" s="2">
        <v>3907.12</v>
      </c>
      <c r="M892">
        <v>0.1</v>
      </c>
      <c r="N892" s="4">
        <v>982.45</v>
      </c>
      <c r="O892" t="s">
        <v>31</v>
      </c>
      <c r="P892">
        <v>5</v>
      </c>
    </row>
    <row r="893" spans="1:16" x14ac:dyDescent="0.35">
      <c r="A893" t="s">
        <v>2367</v>
      </c>
      <c r="B893" s="10" t="s">
        <v>640</v>
      </c>
      <c r="C893" s="11" t="str">
        <f t="shared" si="13"/>
        <v>November</v>
      </c>
      <c r="D893" t="s">
        <v>175</v>
      </c>
      <c r="E893" t="s">
        <v>2368</v>
      </c>
      <c r="F893" t="s">
        <v>44</v>
      </c>
      <c r="G893" t="s">
        <v>37</v>
      </c>
      <c r="H893" t="s">
        <v>21</v>
      </c>
      <c r="I893" t="s">
        <v>105</v>
      </c>
      <c r="J893">
        <v>6</v>
      </c>
      <c r="K893" s="4">
        <v>685.1</v>
      </c>
      <c r="L893" s="2">
        <v>4110.6000000000004</v>
      </c>
      <c r="M893">
        <v>0.3</v>
      </c>
      <c r="N893" s="4">
        <v>638.20000000000005</v>
      </c>
      <c r="O893" t="s">
        <v>39</v>
      </c>
      <c r="P893">
        <v>7</v>
      </c>
    </row>
    <row r="894" spans="1:16" x14ac:dyDescent="0.35">
      <c r="A894" t="s">
        <v>2369</v>
      </c>
      <c r="B894" s="10" t="s">
        <v>1050</v>
      </c>
      <c r="C894" s="11" t="str">
        <f t="shared" si="13"/>
        <v>February</v>
      </c>
      <c r="D894" t="s">
        <v>195</v>
      </c>
      <c r="E894" t="s">
        <v>2370</v>
      </c>
      <c r="F894" t="s">
        <v>19</v>
      </c>
      <c r="G894" t="s">
        <v>28</v>
      </c>
      <c r="H894" t="s">
        <v>76</v>
      </c>
      <c r="I894" t="s">
        <v>77</v>
      </c>
      <c r="J894">
        <v>10</v>
      </c>
      <c r="K894" s="4">
        <v>312.05</v>
      </c>
      <c r="L894" s="2">
        <v>3120.5</v>
      </c>
      <c r="M894">
        <v>0.1</v>
      </c>
      <c r="N894" s="4">
        <v>1404.65</v>
      </c>
      <c r="O894" t="s">
        <v>31</v>
      </c>
      <c r="P894">
        <v>6</v>
      </c>
    </row>
    <row r="895" spans="1:16" x14ac:dyDescent="0.35">
      <c r="A895" t="s">
        <v>2371</v>
      </c>
      <c r="B895" s="10" t="s">
        <v>1083</v>
      </c>
      <c r="C895" s="11" t="str">
        <f t="shared" si="13"/>
        <v>April</v>
      </c>
      <c r="D895" t="s">
        <v>433</v>
      </c>
      <c r="E895" t="s">
        <v>2372</v>
      </c>
      <c r="F895" t="s">
        <v>36</v>
      </c>
      <c r="G895" t="s">
        <v>20</v>
      </c>
      <c r="H895" t="s">
        <v>21</v>
      </c>
      <c r="I895" t="s">
        <v>22</v>
      </c>
      <c r="J895">
        <v>6</v>
      </c>
      <c r="K895" s="4">
        <v>1092.9100000000001</v>
      </c>
      <c r="L895" s="2">
        <v>6557.46</v>
      </c>
      <c r="M895">
        <v>0.1</v>
      </c>
      <c r="N895" s="4">
        <v>2900.5</v>
      </c>
      <c r="O895" t="s">
        <v>39</v>
      </c>
      <c r="P895">
        <v>4</v>
      </c>
    </row>
    <row r="896" spans="1:16" x14ac:dyDescent="0.35">
      <c r="A896" t="s">
        <v>2373</v>
      </c>
      <c r="B896" s="10" t="s">
        <v>1086</v>
      </c>
      <c r="C896" s="11" t="str">
        <f t="shared" si="13"/>
        <v>October</v>
      </c>
      <c r="D896" t="s">
        <v>905</v>
      </c>
      <c r="E896" t="s">
        <v>2374</v>
      </c>
      <c r="F896" t="s">
        <v>36</v>
      </c>
      <c r="G896" t="s">
        <v>57</v>
      </c>
      <c r="H896" t="s">
        <v>76</v>
      </c>
      <c r="I896" t="s">
        <v>77</v>
      </c>
      <c r="J896">
        <v>2</v>
      </c>
      <c r="K896" s="4">
        <v>227.36</v>
      </c>
      <c r="L896" s="2">
        <v>454.72</v>
      </c>
      <c r="M896">
        <v>0.3</v>
      </c>
      <c r="N896" s="4">
        <v>63.6</v>
      </c>
      <c r="O896" t="s">
        <v>23</v>
      </c>
      <c r="P896">
        <v>10</v>
      </c>
    </row>
    <row r="897" spans="1:16" x14ac:dyDescent="0.35">
      <c r="A897" t="s">
        <v>2375</v>
      </c>
      <c r="B897" s="10" t="s">
        <v>244</v>
      </c>
      <c r="C897" s="11" t="str">
        <f t="shared" si="13"/>
        <v>July</v>
      </c>
      <c r="D897" t="s">
        <v>1138</v>
      </c>
      <c r="E897" t="s">
        <v>2376</v>
      </c>
      <c r="F897" t="s">
        <v>44</v>
      </c>
      <c r="G897" t="s">
        <v>28</v>
      </c>
      <c r="H897" t="s">
        <v>76</v>
      </c>
      <c r="I897" t="s">
        <v>177</v>
      </c>
      <c r="J897">
        <v>5</v>
      </c>
      <c r="K897" s="4">
        <v>736.81</v>
      </c>
      <c r="L897" s="2">
        <v>3684.05</v>
      </c>
      <c r="M897">
        <v>0</v>
      </c>
      <c r="N897" s="4">
        <v>1774.61</v>
      </c>
      <c r="O897" t="s">
        <v>39</v>
      </c>
      <c r="P897">
        <v>10</v>
      </c>
    </row>
    <row r="898" spans="1:16" x14ac:dyDescent="0.35">
      <c r="A898" t="s">
        <v>2377</v>
      </c>
      <c r="B898" s="10" t="s">
        <v>259</v>
      </c>
      <c r="C898" s="11" t="str">
        <f t="shared" si="13"/>
        <v>March</v>
      </c>
      <c r="D898" t="s">
        <v>1841</v>
      </c>
      <c r="E898" t="s">
        <v>2378</v>
      </c>
      <c r="F898" t="s">
        <v>44</v>
      </c>
      <c r="G898" t="s">
        <v>57</v>
      </c>
      <c r="H898" t="s">
        <v>29</v>
      </c>
      <c r="I898" t="s">
        <v>110</v>
      </c>
      <c r="J898">
        <v>1</v>
      </c>
      <c r="K898" s="4">
        <v>830.26</v>
      </c>
      <c r="L898" s="2">
        <v>830.26</v>
      </c>
      <c r="M898">
        <v>0.3</v>
      </c>
      <c r="N898" s="4">
        <v>283.5</v>
      </c>
      <c r="O898" t="s">
        <v>31</v>
      </c>
      <c r="P898">
        <v>6</v>
      </c>
    </row>
    <row r="899" spans="1:16" x14ac:dyDescent="0.35">
      <c r="A899" t="s">
        <v>2379</v>
      </c>
      <c r="B899" s="10" t="s">
        <v>471</v>
      </c>
      <c r="C899" s="11" t="str">
        <f t="shared" ref="C899:C962" si="14">TEXT(B899,"MMMM")</f>
        <v>July</v>
      </c>
      <c r="D899" t="s">
        <v>117</v>
      </c>
      <c r="E899" t="s">
        <v>2380</v>
      </c>
      <c r="F899" t="s">
        <v>19</v>
      </c>
      <c r="G899" t="s">
        <v>57</v>
      </c>
      <c r="H899" t="s">
        <v>21</v>
      </c>
      <c r="I899" t="s">
        <v>105</v>
      </c>
      <c r="J899">
        <v>10</v>
      </c>
      <c r="K899" s="4">
        <v>513.53</v>
      </c>
      <c r="L899" s="2">
        <v>5135.3</v>
      </c>
      <c r="M899">
        <v>0.15</v>
      </c>
      <c r="N899" s="4">
        <v>2081.0500000000002</v>
      </c>
      <c r="O899" t="s">
        <v>39</v>
      </c>
      <c r="P899">
        <v>7</v>
      </c>
    </row>
    <row r="900" spans="1:16" x14ac:dyDescent="0.35">
      <c r="A900" t="s">
        <v>2381</v>
      </c>
      <c r="B900" s="10" t="s">
        <v>2094</v>
      </c>
      <c r="C900" s="11" t="str">
        <f t="shared" si="14"/>
        <v>July</v>
      </c>
      <c r="D900" t="s">
        <v>553</v>
      </c>
      <c r="E900" t="s">
        <v>2382</v>
      </c>
      <c r="F900" t="s">
        <v>44</v>
      </c>
      <c r="G900" t="s">
        <v>20</v>
      </c>
      <c r="H900" t="s">
        <v>21</v>
      </c>
      <c r="I900" t="s">
        <v>105</v>
      </c>
      <c r="J900">
        <v>5</v>
      </c>
      <c r="K900" s="4">
        <v>770.05</v>
      </c>
      <c r="L900" s="2">
        <v>3850.25</v>
      </c>
      <c r="M900">
        <v>0</v>
      </c>
      <c r="N900" s="4">
        <v>658.46</v>
      </c>
      <c r="O900" t="s">
        <v>23</v>
      </c>
      <c r="P900">
        <v>2</v>
      </c>
    </row>
    <row r="901" spans="1:16" x14ac:dyDescent="0.35">
      <c r="A901" t="s">
        <v>2383</v>
      </c>
      <c r="B901" s="10" t="s">
        <v>209</v>
      </c>
      <c r="C901" s="11" t="str">
        <f t="shared" si="14"/>
        <v>February</v>
      </c>
      <c r="D901" t="s">
        <v>468</v>
      </c>
      <c r="E901" t="s">
        <v>2384</v>
      </c>
      <c r="F901" t="s">
        <v>44</v>
      </c>
      <c r="G901" t="s">
        <v>28</v>
      </c>
      <c r="H901" t="s">
        <v>29</v>
      </c>
      <c r="I901" t="s">
        <v>62</v>
      </c>
      <c r="J901">
        <v>4</v>
      </c>
      <c r="K901" s="4">
        <v>1134.94</v>
      </c>
      <c r="L901" s="2">
        <v>4539.76</v>
      </c>
      <c r="M901">
        <v>0.05</v>
      </c>
      <c r="N901" s="4">
        <v>1379.54</v>
      </c>
      <c r="O901" t="s">
        <v>31</v>
      </c>
      <c r="P901">
        <v>7</v>
      </c>
    </row>
    <row r="902" spans="1:16" x14ac:dyDescent="0.35">
      <c r="A902" t="s">
        <v>2385</v>
      </c>
      <c r="B902" s="10" t="s">
        <v>1809</v>
      </c>
      <c r="C902" s="11" t="str">
        <f t="shared" si="14"/>
        <v>December</v>
      </c>
      <c r="D902" t="s">
        <v>270</v>
      </c>
      <c r="E902" t="s">
        <v>2386</v>
      </c>
      <c r="F902" t="s">
        <v>19</v>
      </c>
      <c r="G902" t="s">
        <v>20</v>
      </c>
      <c r="H902" t="s">
        <v>21</v>
      </c>
      <c r="I902" t="s">
        <v>71</v>
      </c>
      <c r="J902">
        <v>3</v>
      </c>
      <c r="K902" s="4">
        <v>585.99</v>
      </c>
      <c r="L902" s="2">
        <v>1757.97</v>
      </c>
      <c r="M902">
        <v>0.2</v>
      </c>
      <c r="N902" s="4">
        <v>388.09</v>
      </c>
      <c r="O902" t="s">
        <v>39</v>
      </c>
      <c r="P902">
        <v>1</v>
      </c>
    </row>
    <row r="903" spans="1:16" x14ac:dyDescent="0.35">
      <c r="A903" t="s">
        <v>2387</v>
      </c>
      <c r="B903" s="10" t="s">
        <v>363</v>
      </c>
      <c r="C903" s="11" t="str">
        <f t="shared" si="14"/>
        <v>June</v>
      </c>
      <c r="D903" t="s">
        <v>789</v>
      </c>
      <c r="E903" t="s">
        <v>2388</v>
      </c>
      <c r="F903" t="s">
        <v>19</v>
      </c>
      <c r="G903" t="s">
        <v>20</v>
      </c>
      <c r="H903" t="s">
        <v>21</v>
      </c>
      <c r="I903" t="s">
        <v>105</v>
      </c>
      <c r="J903">
        <v>1</v>
      </c>
      <c r="K903" s="4">
        <v>862.71</v>
      </c>
      <c r="L903" s="2">
        <v>862.71</v>
      </c>
      <c r="M903">
        <v>0.3</v>
      </c>
      <c r="N903" s="4">
        <v>203.07</v>
      </c>
      <c r="O903" t="s">
        <v>23</v>
      </c>
      <c r="P903">
        <v>8</v>
      </c>
    </row>
    <row r="904" spans="1:16" x14ac:dyDescent="0.35">
      <c r="A904" t="s">
        <v>2389</v>
      </c>
      <c r="B904" s="10" t="s">
        <v>155</v>
      </c>
      <c r="C904" s="11" t="str">
        <f t="shared" si="14"/>
        <v>March</v>
      </c>
      <c r="D904" t="s">
        <v>341</v>
      </c>
      <c r="E904" t="s">
        <v>2390</v>
      </c>
      <c r="F904" t="s">
        <v>44</v>
      </c>
      <c r="G904" t="s">
        <v>20</v>
      </c>
      <c r="H904" t="s">
        <v>29</v>
      </c>
      <c r="I904" t="s">
        <v>62</v>
      </c>
      <c r="J904">
        <v>9</v>
      </c>
      <c r="K904" s="4">
        <v>1086.48</v>
      </c>
      <c r="L904" s="2">
        <v>9778.32</v>
      </c>
      <c r="M904">
        <v>0.05</v>
      </c>
      <c r="N904" s="4">
        <v>4830.04</v>
      </c>
      <c r="O904" t="s">
        <v>39</v>
      </c>
      <c r="P904">
        <v>8</v>
      </c>
    </row>
    <row r="905" spans="1:16" x14ac:dyDescent="0.35">
      <c r="A905" t="s">
        <v>2391</v>
      </c>
      <c r="B905" s="10" t="s">
        <v>2304</v>
      </c>
      <c r="C905" s="11" t="str">
        <f t="shared" si="14"/>
        <v>May</v>
      </c>
      <c r="D905" t="s">
        <v>113</v>
      </c>
      <c r="E905" t="s">
        <v>2392</v>
      </c>
      <c r="F905" t="s">
        <v>36</v>
      </c>
      <c r="G905" t="s">
        <v>57</v>
      </c>
      <c r="H905" t="s">
        <v>76</v>
      </c>
      <c r="I905" t="s">
        <v>119</v>
      </c>
      <c r="J905">
        <v>6</v>
      </c>
      <c r="K905" s="4">
        <v>1164.28</v>
      </c>
      <c r="L905" s="2">
        <v>6985.68</v>
      </c>
      <c r="M905">
        <v>0.1</v>
      </c>
      <c r="N905" s="4">
        <v>1159.23</v>
      </c>
      <c r="O905" t="s">
        <v>39</v>
      </c>
      <c r="P905">
        <v>8</v>
      </c>
    </row>
    <row r="906" spans="1:16" x14ac:dyDescent="0.35">
      <c r="A906" t="s">
        <v>2393</v>
      </c>
      <c r="B906" s="10" t="s">
        <v>1434</v>
      </c>
      <c r="C906" s="11" t="str">
        <f t="shared" si="14"/>
        <v>April</v>
      </c>
      <c r="D906" t="s">
        <v>324</v>
      </c>
      <c r="E906" t="s">
        <v>2394</v>
      </c>
      <c r="F906" t="s">
        <v>19</v>
      </c>
      <c r="G906" t="s">
        <v>20</v>
      </c>
      <c r="H906" t="s">
        <v>76</v>
      </c>
      <c r="I906" t="s">
        <v>87</v>
      </c>
      <c r="J906">
        <v>4</v>
      </c>
      <c r="K906" s="4">
        <v>22.64</v>
      </c>
      <c r="L906" s="2">
        <v>90.56</v>
      </c>
      <c r="M906">
        <v>0.3</v>
      </c>
      <c r="N906" s="4">
        <v>20.440000000000001</v>
      </c>
      <c r="O906" t="s">
        <v>39</v>
      </c>
      <c r="P906">
        <v>10</v>
      </c>
    </row>
    <row r="907" spans="1:16" x14ac:dyDescent="0.35">
      <c r="A907" t="s">
        <v>2395</v>
      </c>
      <c r="B907" s="10" t="s">
        <v>471</v>
      </c>
      <c r="C907" s="11" t="str">
        <f t="shared" si="14"/>
        <v>July</v>
      </c>
      <c r="D907" t="s">
        <v>813</v>
      </c>
      <c r="E907" t="s">
        <v>2396</v>
      </c>
      <c r="F907" t="s">
        <v>36</v>
      </c>
      <c r="G907" t="s">
        <v>57</v>
      </c>
      <c r="H907" t="s">
        <v>76</v>
      </c>
      <c r="I907" t="s">
        <v>77</v>
      </c>
      <c r="J907">
        <v>6</v>
      </c>
      <c r="K907" s="4">
        <v>26.95</v>
      </c>
      <c r="L907" s="2">
        <v>161.69999999999999</v>
      </c>
      <c r="M907">
        <v>0.15</v>
      </c>
      <c r="N907" s="4">
        <v>57.53</v>
      </c>
      <c r="O907" t="s">
        <v>23</v>
      </c>
      <c r="P907">
        <v>3</v>
      </c>
    </row>
    <row r="908" spans="1:16" x14ac:dyDescent="0.35">
      <c r="A908" t="s">
        <v>2397</v>
      </c>
      <c r="B908" s="10" t="s">
        <v>1681</v>
      </c>
      <c r="C908" s="11" t="str">
        <f t="shared" si="14"/>
        <v>September</v>
      </c>
      <c r="D908" t="s">
        <v>341</v>
      </c>
      <c r="E908" t="s">
        <v>2398</v>
      </c>
      <c r="F908" t="s">
        <v>36</v>
      </c>
      <c r="G908" t="s">
        <v>28</v>
      </c>
      <c r="H908" t="s">
        <v>76</v>
      </c>
      <c r="I908" t="s">
        <v>87</v>
      </c>
      <c r="J908">
        <v>1</v>
      </c>
      <c r="K908" s="4">
        <v>139.58000000000001</v>
      </c>
      <c r="L908" s="2">
        <v>139.58000000000001</v>
      </c>
      <c r="M908">
        <v>0.15</v>
      </c>
      <c r="N908" s="4">
        <v>55.88</v>
      </c>
      <c r="O908" t="s">
        <v>31</v>
      </c>
      <c r="P908">
        <v>8</v>
      </c>
    </row>
    <row r="909" spans="1:16" x14ac:dyDescent="0.35">
      <c r="A909" t="s">
        <v>2399</v>
      </c>
      <c r="B909" s="10" t="s">
        <v>1908</v>
      </c>
      <c r="C909" s="11" t="str">
        <f t="shared" si="14"/>
        <v>July</v>
      </c>
      <c r="D909" t="s">
        <v>227</v>
      </c>
      <c r="E909" t="s">
        <v>2400</v>
      </c>
      <c r="F909" t="s">
        <v>36</v>
      </c>
      <c r="G909" t="s">
        <v>57</v>
      </c>
      <c r="H909" t="s">
        <v>29</v>
      </c>
      <c r="I909" t="s">
        <v>224</v>
      </c>
      <c r="J909">
        <v>5</v>
      </c>
      <c r="K909" s="4">
        <v>286.79000000000002</v>
      </c>
      <c r="L909" s="2">
        <v>1433.95</v>
      </c>
      <c r="M909">
        <v>0.15</v>
      </c>
      <c r="N909" s="4">
        <v>487.88</v>
      </c>
      <c r="O909" t="s">
        <v>31</v>
      </c>
      <c r="P909">
        <v>8</v>
      </c>
    </row>
    <row r="910" spans="1:16" x14ac:dyDescent="0.35">
      <c r="A910" t="s">
        <v>2401</v>
      </c>
      <c r="B910" s="10" t="s">
        <v>443</v>
      </c>
      <c r="C910" s="11" t="str">
        <f t="shared" si="14"/>
        <v>July</v>
      </c>
      <c r="D910" t="s">
        <v>349</v>
      </c>
      <c r="E910" t="s">
        <v>2402</v>
      </c>
      <c r="F910" t="s">
        <v>36</v>
      </c>
      <c r="G910" t="s">
        <v>20</v>
      </c>
      <c r="H910" t="s">
        <v>21</v>
      </c>
      <c r="I910" t="s">
        <v>82</v>
      </c>
      <c r="J910">
        <v>3</v>
      </c>
      <c r="K910" s="4">
        <v>185.05</v>
      </c>
      <c r="L910" s="2">
        <v>555.15</v>
      </c>
      <c r="M910">
        <v>0.3</v>
      </c>
      <c r="N910" s="4">
        <v>146.28</v>
      </c>
      <c r="O910" t="s">
        <v>31</v>
      </c>
      <c r="P910">
        <v>5</v>
      </c>
    </row>
    <row r="911" spans="1:16" x14ac:dyDescent="0.35">
      <c r="A911" t="s">
        <v>2403</v>
      </c>
      <c r="B911" s="10" t="s">
        <v>565</v>
      </c>
      <c r="C911" s="11" t="str">
        <f t="shared" si="14"/>
        <v>March</v>
      </c>
      <c r="D911" t="s">
        <v>472</v>
      </c>
      <c r="E911" t="s">
        <v>2404</v>
      </c>
      <c r="F911" t="s">
        <v>36</v>
      </c>
      <c r="G911" t="s">
        <v>28</v>
      </c>
      <c r="H911" t="s">
        <v>29</v>
      </c>
      <c r="I911" t="s">
        <v>224</v>
      </c>
      <c r="J911">
        <v>7</v>
      </c>
      <c r="K911" s="4">
        <v>516.85</v>
      </c>
      <c r="L911" s="2">
        <v>3617.95</v>
      </c>
      <c r="M911">
        <v>0.1</v>
      </c>
      <c r="N911" s="4">
        <v>617.37</v>
      </c>
      <c r="O911" t="s">
        <v>23</v>
      </c>
      <c r="P911">
        <v>5</v>
      </c>
    </row>
    <row r="912" spans="1:16" x14ac:dyDescent="0.35">
      <c r="A912" t="s">
        <v>2405</v>
      </c>
      <c r="B912" s="10" t="s">
        <v>457</v>
      </c>
      <c r="C912" s="11" t="str">
        <f t="shared" si="14"/>
        <v>June</v>
      </c>
      <c r="D912" t="s">
        <v>241</v>
      </c>
      <c r="E912" t="s">
        <v>2406</v>
      </c>
      <c r="F912" t="s">
        <v>44</v>
      </c>
      <c r="G912" t="s">
        <v>28</v>
      </c>
      <c r="H912" t="s">
        <v>29</v>
      </c>
      <c r="I912" t="s">
        <v>45</v>
      </c>
      <c r="J912">
        <v>8</v>
      </c>
      <c r="K912" s="4">
        <v>669.15</v>
      </c>
      <c r="L912" s="2">
        <v>5353.2</v>
      </c>
      <c r="M912">
        <v>0.3</v>
      </c>
      <c r="N912" s="4">
        <v>990.29</v>
      </c>
      <c r="O912" t="s">
        <v>31</v>
      </c>
      <c r="P912">
        <v>2</v>
      </c>
    </row>
    <row r="913" spans="1:16" x14ac:dyDescent="0.35">
      <c r="A913" t="s">
        <v>2407</v>
      </c>
      <c r="B913" s="10" t="s">
        <v>1104</v>
      </c>
      <c r="C913" s="11" t="str">
        <f t="shared" si="14"/>
        <v>December</v>
      </c>
      <c r="D913" t="s">
        <v>444</v>
      </c>
      <c r="E913" t="s">
        <v>2408</v>
      </c>
      <c r="F913" t="s">
        <v>36</v>
      </c>
      <c r="G913" t="s">
        <v>57</v>
      </c>
      <c r="H913" t="s">
        <v>29</v>
      </c>
      <c r="I913" t="s">
        <v>30</v>
      </c>
      <c r="J913">
        <v>3</v>
      </c>
      <c r="K913" s="4">
        <v>203.54</v>
      </c>
      <c r="L913" s="2">
        <v>610.62</v>
      </c>
      <c r="M913">
        <v>0.2</v>
      </c>
      <c r="N913" s="4">
        <v>266.01</v>
      </c>
      <c r="O913" t="s">
        <v>39</v>
      </c>
      <c r="P913">
        <v>10</v>
      </c>
    </row>
    <row r="914" spans="1:16" x14ac:dyDescent="0.35">
      <c r="A914" t="s">
        <v>2409</v>
      </c>
      <c r="B914" s="10" t="s">
        <v>582</v>
      </c>
      <c r="C914" s="11" t="str">
        <f t="shared" si="14"/>
        <v>August</v>
      </c>
      <c r="D914" t="s">
        <v>654</v>
      </c>
      <c r="E914" t="s">
        <v>2410</v>
      </c>
      <c r="F914" t="s">
        <v>19</v>
      </c>
      <c r="G914" t="s">
        <v>37</v>
      </c>
      <c r="H914" t="s">
        <v>21</v>
      </c>
      <c r="I914" t="s">
        <v>22</v>
      </c>
      <c r="J914">
        <v>7</v>
      </c>
      <c r="K914" s="4">
        <v>586.63</v>
      </c>
      <c r="L914" s="2">
        <v>4106.41</v>
      </c>
      <c r="M914">
        <v>0.1</v>
      </c>
      <c r="N914" s="4">
        <v>1314.32</v>
      </c>
      <c r="O914" t="s">
        <v>23</v>
      </c>
      <c r="P914">
        <v>9</v>
      </c>
    </row>
    <row r="915" spans="1:16" x14ac:dyDescent="0.35">
      <c r="A915" t="s">
        <v>2411</v>
      </c>
      <c r="B915" s="10" t="s">
        <v>1409</v>
      </c>
      <c r="C915" s="11" t="str">
        <f t="shared" si="14"/>
        <v>May</v>
      </c>
      <c r="D915" t="s">
        <v>472</v>
      </c>
      <c r="E915" t="s">
        <v>2412</v>
      </c>
      <c r="F915" t="s">
        <v>44</v>
      </c>
      <c r="G915" t="s">
        <v>37</v>
      </c>
      <c r="H915" t="s">
        <v>29</v>
      </c>
      <c r="I915" t="s">
        <v>224</v>
      </c>
      <c r="J915">
        <v>5</v>
      </c>
      <c r="K915" s="4">
        <v>924.74</v>
      </c>
      <c r="L915" s="2">
        <v>4623.7</v>
      </c>
      <c r="M915">
        <v>0.1</v>
      </c>
      <c r="N915" s="4">
        <v>633.76</v>
      </c>
      <c r="O915" t="s">
        <v>39</v>
      </c>
      <c r="P915">
        <v>2</v>
      </c>
    </row>
    <row r="916" spans="1:16" x14ac:dyDescent="0.35">
      <c r="A916" t="s">
        <v>2413</v>
      </c>
      <c r="B916" s="10" t="s">
        <v>306</v>
      </c>
      <c r="C916" s="11" t="str">
        <f t="shared" si="14"/>
        <v>March</v>
      </c>
      <c r="D916" t="s">
        <v>799</v>
      </c>
      <c r="E916" t="s">
        <v>2414</v>
      </c>
      <c r="F916" t="s">
        <v>36</v>
      </c>
      <c r="G916" t="s">
        <v>37</v>
      </c>
      <c r="H916" t="s">
        <v>21</v>
      </c>
      <c r="I916" t="s">
        <v>71</v>
      </c>
      <c r="J916">
        <v>10</v>
      </c>
      <c r="K916" s="4">
        <v>233.8</v>
      </c>
      <c r="L916" s="2">
        <v>2338</v>
      </c>
      <c r="M916">
        <v>0.2</v>
      </c>
      <c r="N916" s="4">
        <v>558.20000000000005</v>
      </c>
      <c r="O916" t="s">
        <v>39</v>
      </c>
      <c r="P916">
        <v>1</v>
      </c>
    </row>
    <row r="917" spans="1:16" x14ac:dyDescent="0.35">
      <c r="A917" t="s">
        <v>2415</v>
      </c>
      <c r="B917" s="10" t="s">
        <v>344</v>
      </c>
      <c r="C917" s="11" t="str">
        <f t="shared" si="14"/>
        <v>January</v>
      </c>
      <c r="D917" t="s">
        <v>130</v>
      </c>
      <c r="E917" t="s">
        <v>2416</v>
      </c>
      <c r="F917" t="s">
        <v>44</v>
      </c>
      <c r="G917" t="s">
        <v>57</v>
      </c>
      <c r="H917" t="s">
        <v>76</v>
      </c>
      <c r="I917" t="s">
        <v>119</v>
      </c>
      <c r="J917">
        <v>3</v>
      </c>
      <c r="K917" s="4">
        <v>523.04</v>
      </c>
      <c r="L917" s="2">
        <v>1569.12</v>
      </c>
      <c r="M917">
        <v>0.2</v>
      </c>
      <c r="N917" s="4">
        <v>590.16999999999996</v>
      </c>
      <c r="O917" t="s">
        <v>23</v>
      </c>
      <c r="P917">
        <v>4</v>
      </c>
    </row>
    <row r="918" spans="1:16" x14ac:dyDescent="0.35">
      <c r="A918" t="s">
        <v>2417</v>
      </c>
      <c r="B918" s="10" t="s">
        <v>344</v>
      </c>
      <c r="C918" s="11" t="str">
        <f t="shared" si="14"/>
        <v>January</v>
      </c>
      <c r="D918" t="s">
        <v>395</v>
      </c>
      <c r="E918" t="s">
        <v>2418</v>
      </c>
      <c r="F918" t="s">
        <v>36</v>
      </c>
      <c r="G918" t="s">
        <v>57</v>
      </c>
      <c r="H918" t="s">
        <v>29</v>
      </c>
      <c r="I918" t="s">
        <v>110</v>
      </c>
      <c r="J918">
        <v>7</v>
      </c>
      <c r="K918" s="4">
        <v>585.45000000000005</v>
      </c>
      <c r="L918" s="2">
        <v>4098.1499999999996</v>
      </c>
      <c r="M918">
        <v>0.2</v>
      </c>
      <c r="N918" s="4">
        <v>1243.1199999999999</v>
      </c>
      <c r="O918" t="s">
        <v>39</v>
      </c>
      <c r="P918">
        <v>5</v>
      </c>
    </row>
    <row r="919" spans="1:16" x14ac:dyDescent="0.35">
      <c r="A919" t="s">
        <v>2419</v>
      </c>
      <c r="B919" s="10" t="s">
        <v>1458</v>
      </c>
      <c r="C919" s="11" t="str">
        <f t="shared" si="14"/>
        <v>January</v>
      </c>
      <c r="D919" t="s">
        <v>303</v>
      </c>
      <c r="E919" t="s">
        <v>2420</v>
      </c>
      <c r="F919" t="s">
        <v>19</v>
      </c>
      <c r="G919" t="s">
        <v>57</v>
      </c>
      <c r="H919" t="s">
        <v>76</v>
      </c>
      <c r="I919" t="s">
        <v>128</v>
      </c>
      <c r="J919">
        <v>4</v>
      </c>
      <c r="K919" s="4">
        <v>397.41</v>
      </c>
      <c r="L919" s="2">
        <v>1589.64</v>
      </c>
      <c r="M919">
        <v>0</v>
      </c>
      <c r="N919" s="4">
        <v>758.73</v>
      </c>
      <c r="O919" t="s">
        <v>31</v>
      </c>
      <c r="P919">
        <v>5</v>
      </c>
    </row>
    <row r="920" spans="1:16" x14ac:dyDescent="0.35">
      <c r="A920" t="s">
        <v>2421</v>
      </c>
      <c r="B920" s="10" t="s">
        <v>1076</v>
      </c>
      <c r="C920" s="11" t="str">
        <f t="shared" si="14"/>
        <v>September</v>
      </c>
      <c r="D920" t="s">
        <v>409</v>
      </c>
      <c r="E920" t="s">
        <v>2422</v>
      </c>
      <c r="F920" t="s">
        <v>44</v>
      </c>
      <c r="G920" t="s">
        <v>57</v>
      </c>
      <c r="H920" t="s">
        <v>76</v>
      </c>
      <c r="I920" t="s">
        <v>87</v>
      </c>
      <c r="J920">
        <v>10</v>
      </c>
      <c r="K920" s="4">
        <v>138.9</v>
      </c>
      <c r="L920" s="2">
        <v>1389</v>
      </c>
      <c r="M920">
        <v>0.05</v>
      </c>
      <c r="N920" s="4">
        <v>592.6</v>
      </c>
      <c r="O920" t="s">
        <v>31</v>
      </c>
      <c r="P920">
        <v>2</v>
      </c>
    </row>
    <row r="921" spans="1:16" x14ac:dyDescent="0.35">
      <c r="A921" t="s">
        <v>2423</v>
      </c>
      <c r="B921" s="10" t="s">
        <v>273</v>
      </c>
      <c r="C921" s="11" t="str">
        <f t="shared" si="14"/>
        <v>July</v>
      </c>
      <c r="D921" t="s">
        <v>468</v>
      </c>
      <c r="E921" t="s">
        <v>2424</v>
      </c>
      <c r="F921" t="s">
        <v>19</v>
      </c>
      <c r="G921" t="s">
        <v>57</v>
      </c>
      <c r="H921" t="s">
        <v>21</v>
      </c>
      <c r="I921" t="s">
        <v>22</v>
      </c>
      <c r="J921">
        <v>9</v>
      </c>
      <c r="K921" s="4">
        <v>929.15</v>
      </c>
      <c r="L921" s="2">
        <v>8362.35</v>
      </c>
      <c r="M921">
        <v>0.05</v>
      </c>
      <c r="N921" s="4">
        <v>3316.84</v>
      </c>
      <c r="O921" t="s">
        <v>31</v>
      </c>
      <c r="P921">
        <v>5</v>
      </c>
    </row>
    <row r="922" spans="1:16" x14ac:dyDescent="0.35">
      <c r="A922" t="s">
        <v>2425</v>
      </c>
      <c r="B922" s="10" t="s">
        <v>539</v>
      </c>
      <c r="C922" s="11" t="str">
        <f t="shared" si="14"/>
        <v>November</v>
      </c>
      <c r="D922" t="s">
        <v>1865</v>
      </c>
      <c r="E922" t="s">
        <v>2426</v>
      </c>
      <c r="F922" t="s">
        <v>36</v>
      </c>
      <c r="G922" t="s">
        <v>37</v>
      </c>
      <c r="H922" t="s">
        <v>29</v>
      </c>
      <c r="I922" t="s">
        <v>100</v>
      </c>
      <c r="J922">
        <v>7</v>
      </c>
      <c r="K922" s="4">
        <v>122.93</v>
      </c>
      <c r="L922" s="2">
        <v>860.51</v>
      </c>
      <c r="M922">
        <v>0</v>
      </c>
      <c r="N922" s="4">
        <v>428.37</v>
      </c>
      <c r="O922" t="s">
        <v>31</v>
      </c>
      <c r="P922">
        <v>8</v>
      </c>
    </row>
    <row r="923" spans="1:16" x14ac:dyDescent="0.35">
      <c r="A923" t="s">
        <v>2427</v>
      </c>
      <c r="B923" s="10" t="s">
        <v>594</v>
      </c>
      <c r="C923" s="11" t="str">
        <f t="shared" si="14"/>
        <v>April</v>
      </c>
      <c r="D923" t="s">
        <v>270</v>
      </c>
      <c r="E923" t="s">
        <v>2428</v>
      </c>
      <c r="F923" t="s">
        <v>19</v>
      </c>
      <c r="G923" t="s">
        <v>37</v>
      </c>
      <c r="H923" t="s">
        <v>29</v>
      </c>
      <c r="I923" t="s">
        <v>30</v>
      </c>
      <c r="J923">
        <v>9</v>
      </c>
      <c r="K923" s="4">
        <v>750.43</v>
      </c>
      <c r="L923" s="2">
        <v>6753.87</v>
      </c>
      <c r="M923">
        <v>0.1</v>
      </c>
      <c r="N923" s="4">
        <v>1579.55</v>
      </c>
      <c r="O923" t="s">
        <v>31</v>
      </c>
      <c r="P923">
        <v>3</v>
      </c>
    </row>
    <row r="924" spans="1:16" x14ac:dyDescent="0.35">
      <c r="A924" t="s">
        <v>2429</v>
      </c>
      <c r="B924" s="10" t="s">
        <v>672</v>
      </c>
      <c r="C924" s="11" t="str">
        <f t="shared" si="14"/>
        <v>July</v>
      </c>
      <c r="D924" t="s">
        <v>1263</v>
      </c>
      <c r="E924" t="s">
        <v>2430</v>
      </c>
      <c r="F924" t="s">
        <v>19</v>
      </c>
      <c r="G924" t="s">
        <v>20</v>
      </c>
      <c r="H924" t="s">
        <v>29</v>
      </c>
      <c r="I924" t="s">
        <v>45</v>
      </c>
      <c r="J924">
        <v>9</v>
      </c>
      <c r="K924" s="4">
        <v>859.69</v>
      </c>
      <c r="L924" s="2">
        <v>7737.21</v>
      </c>
      <c r="M924">
        <v>0.2</v>
      </c>
      <c r="N924" s="4">
        <v>990.05</v>
      </c>
      <c r="O924" t="s">
        <v>39</v>
      </c>
      <c r="P924">
        <v>2</v>
      </c>
    </row>
    <row r="925" spans="1:16" x14ac:dyDescent="0.35">
      <c r="A925" t="s">
        <v>2431</v>
      </c>
      <c r="B925" s="10" t="s">
        <v>605</v>
      </c>
      <c r="C925" s="11" t="str">
        <f t="shared" si="14"/>
        <v>March</v>
      </c>
      <c r="D925" t="s">
        <v>497</v>
      </c>
      <c r="E925" t="s">
        <v>2432</v>
      </c>
      <c r="F925" t="s">
        <v>44</v>
      </c>
      <c r="G925" t="s">
        <v>37</v>
      </c>
      <c r="H925" t="s">
        <v>76</v>
      </c>
      <c r="I925" t="s">
        <v>128</v>
      </c>
      <c r="J925">
        <v>9</v>
      </c>
      <c r="K925" s="4">
        <v>1118.97</v>
      </c>
      <c r="L925" s="2">
        <v>10070.73</v>
      </c>
      <c r="M925">
        <v>0.2</v>
      </c>
      <c r="N925" s="4">
        <v>1882.39</v>
      </c>
      <c r="O925" t="s">
        <v>39</v>
      </c>
      <c r="P925">
        <v>1</v>
      </c>
    </row>
    <row r="926" spans="1:16" x14ac:dyDescent="0.35">
      <c r="A926" t="s">
        <v>2433</v>
      </c>
      <c r="B926" s="10" t="s">
        <v>1327</v>
      </c>
      <c r="C926" s="11" t="str">
        <f t="shared" si="14"/>
        <v>September</v>
      </c>
      <c r="D926" t="s">
        <v>341</v>
      </c>
      <c r="E926" t="s">
        <v>2434</v>
      </c>
      <c r="F926" t="s">
        <v>36</v>
      </c>
      <c r="G926" t="s">
        <v>37</v>
      </c>
      <c r="H926" t="s">
        <v>21</v>
      </c>
      <c r="I926" t="s">
        <v>22</v>
      </c>
      <c r="J926">
        <v>4</v>
      </c>
      <c r="K926" s="4">
        <v>894.04</v>
      </c>
      <c r="L926" s="2">
        <v>3576.16</v>
      </c>
      <c r="M926">
        <v>0.15</v>
      </c>
      <c r="N926" s="4">
        <v>1069.96</v>
      </c>
      <c r="O926" t="s">
        <v>39</v>
      </c>
      <c r="P926">
        <v>9</v>
      </c>
    </row>
    <row r="927" spans="1:16" x14ac:dyDescent="0.35">
      <c r="A927" t="s">
        <v>2435</v>
      </c>
      <c r="B927" s="10" t="s">
        <v>925</v>
      </c>
      <c r="C927" s="11" t="str">
        <f t="shared" si="14"/>
        <v>January</v>
      </c>
      <c r="D927" t="s">
        <v>180</v>
      </c>
      <c r="E927" t="s">
        <v>2436</v>
      </c>
      <c r="F927" t="s">
        <v>19</v>
      </c>
      <c r="G927" t="s">
        <v>37</v>
      </c>
      <c r="H927" t="s">
        <v>76</v>
      </c>
      <c r="I927" t="s">
        <v>177</v>
      </c>
      <c r="J927">
        <v>7</v>
      </c>
      <c r="K927" s="4">
        <v>493</v>
      </c>
      <c r="L927" s="2">
        <v>3451</v>
      </c>
      <c r="M927">
        <v>0.1</v>
      </c>
      <c r="N927" s="4">
        <v>1451.17</v>
      </c>
      <c r="O927" t="s">
        <v>23</v>
      </c>
      <c r="P927">
        <v>1</v>
      </c>
    </row>
    <row r="928" spans="1:16" x14ac:dyDescent="0.35">
      <c r="A928" t="s">
        <v>2437</v>
      </c>
      <c r="B928" s="10" t="s">
        <v>1040</v>
      </c>
      <c r="C928" s="11" t="str">
        <f t="shared" si="14"/>
        <v>April</v>
      </c>
      <c r="D928" t="s">
        <v>957</v>
      </c>
      <c r="E928" t="s">
        <v>2438</v>
      </c>
      <c r="F928" t="s">
        <v>19</v>
      </c>
      <c r="G928" t="s">
        <v>57</v>
      </c>
      <c r="H928" t="s">
        <v>21</v>
      </c>
      <c r="I928" t="s">
        <v>82</v>
      </c>
      <c r="J928">
        <v>9</v>
      </c>
      <c r="K928" s="4">
        <v>855.15</v>
      </c>
      <c r="L928" s="2">
        <v>7696.35</v>
      </c>
      <c r="M928">
        <v>0.2</v>
      </c>
      <c r="N928" s="4">
        <v>2748.93</v>
      </c>
      <c r="O928" t="s">
        <v>23</v>
      </c>
      <c r="P928">
        <v>2</v>
      </c>
    </row>
    <row r="929" spans="1:16" x14ac:dyDescent="0.35">
      <c r="A929" t="s">
        <v>2439</v>
      </c>
      <c r="B929" s="10" t="s">
        <v>439</v>
      </c>
      <c r="C929" s="11" t="str">
        <f t="shared" si="14"/>
        <v>March</v>
      </c>
      <c r="D929" t="s">
        <v>34</v>
      </c>
      <c r="E929" t="s">
        <v>2440</v>
      </c>
      <c r="F929" t="s">
        <v>36</v>
      </c>
      <c r="G929" t="s">
        <v>57</v>
      </c>
      <c r="H929" t="s">
        <v>29</v>
      </c>
      <c r="I929" t="s">
        <v>224</v>
      </c>
      <c r="J929">
        <v>1</v>
      </c>
      <c r="K929" s="4">
        <v>649.61</v>
      </c>
      <c r="L929" s="2">
        <v>649.61</v>
      </c>
      <c r="M929">
        <v>0.1</v>
      </c>
      <c r="N929" s="4">
        <v>312.42</v>
      </c>
      <c r="O929" t="s">
        <v>31</v>
      </c>
      <c r="P929">
        <v>4</v>
      </c>
    </row>
    <row r="930" spans="1:16" x14ac:dyDescent="0.35">
      <c r="A930" t="s">
        <v>2441</v>
      </c>
      <c r="B930" s="10" t="s">
        <v>289</v>
      </c>
      <c r="C930" s="11" t="str">
        <f t="shared" si="14"/>
        <v>July</v>
      </c>
      <c r="D930" t="s">
        <v>420</v>
      </c>
      <c r="E930" t="s">
        <v>2442</v>
      </c>
      <c r="F930" t="s">
        <v>36</v>
      </c>
      <c r="G930" t="s">
        <v>57</v>
      </c>
      <c r="H930" t="s">
        <v>29</v>
      </c>
      <c r="I930" t="s">
        <v>100</v>
      </c>
      <c r="J930">
        <v>2</v>
      </c>
      <c r="K930" s="4">
        <v>21.65</v>
      </c>
      <c r="L930" s="2">
        <v>43.3</v>
      </c>
      <c r="M930">
        <v>0.1</v>
      </c>
      <c r="N930" s="4">
        <v>11.57</v>
      </c>
      <c r="O930" t="s">
        <v>23</v>
      </c>
      <c r="P930">
        <v>3</v>
      </c>
    </row>
    <row r="931" spans="1:16" x14ac:dyDescent="0.35">
      <c r="A931" t="s">
        <v>2443</v>
      </c>
      <c r="B931" s="10" t="s">
        <v>79</v>
      </c>
      <c r="C931" s="11" t="str">
        <f t="shared" si="14"/>
        <v>January</v>
      </c>
      <c r="D931" t="s">
        <v>171</v>
      </c>
      <c r="E931" t="s">
        <v>2444</v>
      </c>
      <c r="F931" t="s">
        <v>36</v>
      </c>
      <c r="G931" t="s">
        <v>57</v>
      </c>
      <c r="H931" t="s">
        <v>76</v>
      </c>
      <c r="I931" t="s">
        <v>177</v>
      </c>
      <c r="J931">
        <v>5</v>
      </c>
      <c r="K931" s="4">
        <v>403.07</v>
      </c>
      <c r="L931" s="2">
        <v>2015.35</v>
      </c>
      <c r="M931">
        <v>0</v>
      </c>
      <c r="N931" s="4">
        <v>603.83000000000004</v>
      </c>
      <c r="O931" t="s">
        <v>31</v>
      </c>
      <c r="P931">
        <v>5</v>
      </c>
    </row>
    <row r="932" spans="1:16" x14ac:dyDescent="0.35">
      <c r="A932" t="s">
        <v>2445</v>
      </c>
      <c r="B932" s="10" t="s">
        <v>664</v>
      </c>
      <c r="C932" s="11" t="str">
        <f t="shared" si="14"/>
        <v>December</v>
      </c>
      <c r="D932" t="s">
        <v>986</v>
      </c>
      <c r="E932" t="s">
        <v>2446</v>
      </c>
      <c r="F932" t="s">
        <v>19</v>
      </c>
      <c r="G932" t="s">
        <v>37</v>
      </c>
      <c r="H932" t="s">
        <v>29</v>
      </c>
      <c r="I932" t="s">
        <v>100</v>
      </c>
      <c r="J932">
        <v>10</v>
      </c>
      <c r="K932" s="4">
        <v>145.6</v>
      </c>
      <c r="L932" s="2">
        <v>1456</v>
      </c>
      <c r="M932">
        <v>0.3</v>
      </c>
      <c r="N932" s="4">
        <v>280.02999999999997</v>
      </c>
      <c r="O932" t="s">
        <v>39</v>
      </c>
      <c r="P932">
        <v>4</v>
      </c>
    </row>
    <row r="933" spans="1:16" x14ac:dyDescent="0.35">
      <c r="A933" t="s">
        <v>2447</v>
      </c>
      <c r="B933" s="10" t="s">
        <v>1872</v>
      </c>
      <c r="C933" s="11" t="str">
        <f t="shared" si="14"/>
        <v>April</v>
      </c>
      <c r="D933" t="s">
        <v>42</v>
      </c>
      <c r="E933" t="s">
        <v>2448</v>
      </c>
      <c r="F933" t="s">
        <v>19</v>
      </c>
      <c r="G933" t="s">
        <v>28</v>
      </c>
      <c r="H933" t="s">
        <v>76</v>
      </c>
      <c r="I933" t="s">
        <v>87</v>
      </c>
      <c r="J933">
        <v>4</v>
      </c>
      <c r="K933" s="4">
        <v>706.36</v>
      </c>
      <c r="L933" s="2">
        <v>2825.44</v>
      </c>
      <c r="M933">
        <v>0.15</v>
      </c>
      <c r="N933" s="4">
        <v>1171.3800000000001</v>
      </c>
      <c r="O933" t="s">
        <v>39</v>
      </c>
      <c r="P933">
        <v>3</v>
      </c>
    </row>
    <row r="934" spans="1:16" x14ac:dyDescent="0.35">
      <c r="A934" t="s">
        <v>2449</v>
      </c>
      <c r="B934" s="10" t="s">
        <v>715</v>
      </c>
      <c r="C934" s="11" t="str">
        <f t="shared" si="14"/>
        <v>April</v>
      </c>
      <c r="D934" t="s">
        <v>1604</v>
      </c>
      <c r="E934" t="s">
        <v>2450</v>
      </c>
      <c r="F934" t="s">
        <v>19</v>
      </c>
      <c r="G934" t="s">
        <v>28</v>
      </c>
      <c r="H934" t="s">
        <v>76</v>
      </c>
      <c r="I934" t="s">
        <v>77</v>
      </c>
      <c r="J934">
        <v>8</v>
      </c>
      <c r="K934" s="4">
        <v>234.19</v>
      </c>
      <c r="L934" s="2">
        <v>1873.52</v>
      </c>
      <c r="M934">
        <v>0.05</v>
      </c>
      <c r="N934" s="4">
        <v>398.26</v>
      </c>
      <c r="O934" t="s">
        <v>23</v>
      </c>
      <c r="P934">
        <v>3</v>
      </c>
    </row>
    <row r="935" spans="1:16" x14ac:dyDescent="0.35">
      <c r="A935" t="s">
        <v>2451</v>
      </c>
      <c r="B935" s="10" t="s">
        <v>158</v>
      </c>
      <c r="C935" s="11" t="str">
        <f t="shared" si="14"/>
        <v>December</v>
      </c>
      <c r="D935" t="s">
        <v>402</v>
      </c>
      <c r="E935" t="s">
        <v>2452</v>
      </c>
      <c r="F935" t="s">
        <v>36</v>
      </c>
      <c r="G935" t="s">
        <v>20</v>
      </c>
      <c r="H935" t="s">
        <v>21</v>
      </c>
      <c r="I935" t="s">
        <v>38</v>
      </c>
      <c r="J935">
        <v>1</v>
      </c>
      <c r="K935" s="4">
        <v>385.99</v>
      </c>
      <c r="L935" s="2">
        <v>385.99</v>
      </c>
      <c r="M935">
        <v>0.05</v>
      </c>
      <c r="N935" s="4">
        <v>81.77</v>
      </c>
      <c r="O935" t="s">
        <v>31</v>
      </c>
      <c r="P935">
        <v>2</v>
      </c>
    </row>
    <row r="936" spans="1:16" x14ac:dyDescent="0.35">
      <c r="A936" t="s">
        <v>2453</v>
      </c>
      <c r="B936" s="10" t="s">
        <v>586</v>
      </c>
      <c r="C936" s="11" t="str">
        <f t="shared" si="14"/>
        <v>September</v>
      </c>
      <c r="D936" t="s">
        <v>574</v>
      </c>
      <c r="E936" t="s">
        <v>2454</v>
      </c>
      <c r="F936" t="s">
        <v>19</v>
      </c>
      <c r="G936" t="s">
        <v>20</v>
      </c>
      <c r="H936" t="s">
        <v>76</v>
      </c>
      <c r="I936" t="s">
        <v>119</v>
      </c>
      <c r="J936">
        <v>8</v>
      </c>
      <c r="K936" s="4">
        <v>1092.77</v>
      </c>
      <c r="L936" s="2">
        <v>8742.16</v>
      </c>
      <c r="M936">
        <v>0.15</v>
      </c>
      <c r="N936" s="4">
        <v>3789.03</v>
      </c>
      <c r="O936" t="s">
        <v>23</v>
      </c>
      <c r="P936">
        <v>2</v>
      </c>
    </row>
    <row r="937" spans="1:16" x14ac:dyDescent="0.35">
      <c r="A937" t="s">
        <v>2455</v>
      </c>
      <c r="B937" s="10" t="s">
        <v>64</v>
      </c>
      <c r="C937" s="11" t="str">
        <f t="shared" si="14"/>
        <v>November</v>
      </c>
      <c r="D937" t="s">
        <v>367</v>
      </c>
      <c r="E937" t="s">
        <v>2456</v>
      </c>
      <c r="F937" t="s">
        <v>36</v>
      </c>
      <c r="G937" t="s">
        <v>37</v>
      </c>
      <c r="H937" t="s">
        <v>76</v>
      </c>
      <c r="I937" t="s">
        <v>128</v>
      </c>
      <c r="J937">
        <v>1</v>
      </c>
      <c r="K937" s="4">
        <v>149.84</v>
      </c>
      <c r="L937" s="2">
        <v>149.84</v>
      </c>
      <c r="M937">
        <v>0</v>
      </c>
      <c r="N937" s="4">
        <v>36.65</v>
      </c>
      <c r="O937" t="s">
        <v>31</v>
      </c>
      <c r="P937">
        <v>5</v>
      </c>
    </row>
    <row r="938" spans="1:16" x14ac:dyDescent="0.35">
      <c r="A938" t="s">
        <v>2457</v>
      </c>
      <c r="B938" s="10" t="s">
        <v>1855</v>
      </c>
      <c r="C938" s="11" t="str">
        <f t="shared" si="14"/>
        <v>February</v>
      </c>
      <c r="D938" t="s">
        <v>113</v>
      </c>
      <c r="E938" t="s">
        <v>2458</v>
      </c>
      <c r="F938" t="s">
        <v>19</v>
      </c>
      <c r="G938" t="s">
        <v>57</v>
      </c>
      <c r="H938" t="s">
        <v>29</v>
      </c>
      <c r="I938" t="s">
        <v>62</v>
      </c>
      <c r="J938">
        <v>10</v>
      </c>
      <c r="K938" s="4">
        <v>35.93</v>
      </c>
      <c r="L938" s="2">
        <v>359.3</v>
      </c>
      <c r="M938">
        <v>0</v>
      </c>
      <c r="N938" s="4">
        <v>59.99</v>
      </c>
      <c r="O938" t="s">
        <v>23</v>
      </c>
      <c r="P938">
        <v>2</v>
      </c>
    </row>
    <row r="939" spans="1:16" x14ac:dyDescent="0.35">
      <c r="A939" t="s">
        <v>2459</v>
      </c>
      <c r="B939" s="10" t="s">
        <v>792</v>
      </c>
      <c r="C939" s="11" t="str">
        <f t="shared" si="14"/>
        <v>June</v>
      </c>
      <c r="D939" t="s">
        <v>188</v>
      </c>
      <c r="E939" t="s">
        <v>2460</v>
      </c>
      <c r="F939" t="s">
        <v>44</v>
      </c>
      <c r="G939" t="s">
        <v>37</v>
      </c>
      <c r="H939" t="s">
        <v>29</v>
      </c>
      <c r="I939" t="s">
        <v>224</v>
      </c>
      <c r="J939">
        <v>8</v>
      </c>
      <c r="K939" s="4">
        <v>916.41</v>
      </c>
      <c r="L939" s="2">
        <v>7331.28</v>
      </c>
      <c r="M939">
        <v>0.15</v>
      </c>
      <c r="N939" s="4">
        <v>1394.72</v>
      </c>
      <c r="O939" t="s">
        <v>31</v>
      </c>
      <c r="P939">
        <v>1</v>
      </c>
    </row>
    <row r="940" spans="1:16" x14ac:dyDescent="0.35">
      <c r="A940" t="s">
        <v>2461</v>
      </c>
      <c r="B940" s="10" t="s">
        <v>133</v>
      </c>
      <c r="C940" s="11" t="str">
        <f t="shared" si="14"/>
        <v>June</v>
      </c>
      <c r="D940" t="s">
        <v>843</v>
      </c>
      <c r="E940" t="s">
        <v>2462</v>
      </c>
      <c r="F940" t="s">
        <v>19</v>
      </c>
      <c r="G940" t="s">
        <v>28</v>
      </c>
      <c r="H940" t="s">
        <v>21</v>
      </c>
      <c r="I940" t="s">
        <v>38</v>
      </c>
      <c r="J940">
        <v>9</v>
      </c>
      <c r="K940" s="4">
        <v>165.23</v>
      </c>
      <c r="L940" s="2">
        <v>1487.07</v>
      </c>
      <c r="M940">
        <v>0</v>
      </c>
      <c r="N940" s="4">
        <v>756.73</v>
      </c>
      <c r="O940" t="s">
        <v>31</v>
      </c>
      <c r="P940">
        <v>1</v>
      </c>
    </row>
    <row r="941" spans="1:16" x14ac:dyDescent="0.35">
      <c r="A941" t="s">
        <v>2463</v>
      </c>
      <c r="B941" s="10" t="s">
        <v>1550</v>
      </c>
      <c r="C941" s="11" t="str">
        <f t="shared" si="14"/>
        <v>May</v>
      </c>
      <c r="D941" t="s">
        <v>184</v>
      </c>
      <c r="E941" t="s">
        <v>2464</v>
      </c>
      <c r="F941" t="s">
        <v>19</v>
      </c>
      <c r="G941" t="s">
        <v>28</v>
      </c>
      <c r="H941" t="s">
        <v>29</v>
      </c>
      <c r="I941" t="s">
        <v>30</v>
      </c>
      <c r="J941">
        <v>4</v>
      </c>
      <c r="K941" s="4">
        <v>524.02</v>
      </c>
      <c r="L941" s="2">
        <v>2096.08</v>
      </c>
      <c r="M941">
        <v>0.05</v>
      </c>
      <c r="N941" s="4">
        <v>813.79</v>
      </c>
      <c r="O941" t="s">
        <v>23</v>
      </c>
      <c r="P941">
        <v>2</v>
      </c>
    </row>
    <row r="942" spans="1:16" x14ac:dyDescent="0.35">
      <c r="A942" t="s">
        <v>2465</v>
      </c>
      <c r="B942" s="10" t="s">
        <v>1627</v>
      </c>
      <c r="C942" s="11" t="str">
        <f t="shared" si="14"/>
        <v>November</v>
      </c>
      <c r="D942" t="s">
        <v>364</v>
      </c>
      <c r="E942" t="s">
        <v>2466</v>
      </c>
      <c r="F942" t="s">
        <v>36</v>
      </c>
      <c r="G942" t="s">
        <v>57</v>
      </c>
      <c r="H942" t="s">
        <v>76</v>
      </c>
      <c r="I942" t="s">
        <v>119</v>
      </c>
      <c r="J942">
        <v>2</v>
      </c>
      <c r="K942" s="4">
        <v>284.94</v>
      </c>
      <c r="L942" s="2">
        <v>569.88</v>
      </c>
      <c r="M942">
        <v>0.1</v>
      </c>
      <c r="N942" s="4">
        <v>208.79</v>
      </c>
      <c r="O942" t="s">
        <v>31</v>
      </c>
      <c r="P942">
        <v>1</v>
      </c>
    </row>
    <row r="943" spans="1:16" x14ac:dyDescent="0.35">
      <c r="A943" t="s">
        <v>2467</v>
      </c>
      <c r="B943" s="10" t="s">
        <v>1195</v>
      </c>
      <c r="C943" s="11" t="str">
        <f t="shared" si="14"/>
        <v>December</v>
      </c>
      <c r="D943" t="s">
        <v>74</v>
      </c>
      <c r="E943" t="s">
        <v>2124</v>
      </c>
      <c r="F943" t="s">
        <v>36</v>
      </c>
      <c r="G943" t="s">
        <v>57</v>
      </c>
      <c r="H943" t="s">
        <v>21</v>
      </c>
      <c r="I943" t="s">
        <v>105</v>
      </c>
      <c r="J943">
        <v>3</v>
      </c>
      <c r="K943" s="4">
        <v>525.78</v>
      </c>
      <c r="L943" s="2">
        <v>1577.34</v>
      </c>
      <c r="M943">
        <v>0.1</v>
      </c>
      <c r="N943" s="4">
        <v>440.3</v>
      </c>
      <c r="O943" t="s">
        <v>23</v>
      </c>
      <c r="P943">
        <v>5</v>
      </c>
    </row>
    <row r="944" spans="1:16" x14ac:dyDescent="0.35">
      <c r="A944" t="s">
        <v>2468</v>
      </c>
      <c r="B944" s="10" t="s">
        <v>2062</v>
      </c>
      <c r="C944" s="11" t="str">
        <f t="shared" si="14"/>
        <v>May</v>
      </c>
      <c r="D944" t="s">
        <v>286</v>
      </c>
      <c r="E944" t="s">
        <v>2469</v>
      </c>
      <c r="F944" t="s">
        <v>36</v>
      </c>
      <c r="G944" t="s">
        <v>20</v>
      </c>
      <c r="H944" t="s">
        <v>76</v>
      </c>
      <c r="I944" t="s">
        <v>77</v>
      </c>
      <c r="J944">
        <v>5</v>
      </c>
      <c r="K944" s="4">
        <v>1101.1600000000001</v>
      </c>
      <c r="L944" s="2">
        <v>5505.8</v>
      </c>
      <c r="M944">
        <v>0.3</v>
      </c>
      <c r="N944" s="4">
        <v>1550.7</v>
      </c>
      <c r="O944" t="s">
        <v>31</v>
      </c>
      <c r="P944">
        <v>3</v>
      </c>
    </row>
    <row r="945" spans="1:16" x14ac:dyDescent="0.35">
      <c r="A945" t="s">
        <v>2470</v>
      </c>
      <c r="B945" s="10" t="s">
        <v>762</v>
      </c>
      <c r="C945" s="11" t="str">
        <f t="shared" si="14"/>
        <v>February</v>
      </c>
      <c r="D945" t="s">
        <v>890</v>
      </c>
      <c r="E945" t="s">
        <v>2471</v>
      </c>
      <c r="F945" t="s">
        <v>44</v>
      </c>
      <c r="G945" t="s">
        <v>57</v>
      </c>
      <c r="H945" t="s">
        <v>76</v>
      </c>
      <c r="I945" t="s">
        <v>119</v>
      </c>
      <c r="J945">
        <v>7</v>
      </c>
      <c r="K945" s="4">
        <v>547.1</v>
      </c>
      <c r="L945" s="2">
        <v>3829.7</v>
      </c>
      <c r="M945">
        <v>0.15</v>
      </c>
      <c r="N945" s="4">
        <v>729.63</v>
      </c>
      <c r="O945" t="s">
        <v>31</v>
      </c>
      <c r="P945">
        <v>2</v>
      </c>
    </row>
    <row r="946" spans="1:16" x14ac:dyDescent="0.35">
      <c r="A946" t="s">
        <v>2472</v>
      </c>
      <c r="B946" s="10" t="s">
        <v>1657</v>
      </c>
      <c r="C946" s="11" t="str">
        <f t="shared" si="14"/>
        <v>August</v>
      </c>
      <c r="D946" t="s">
        <v>879</v>
      </c>
      <c r="E946" t="s">
        <v>2473</v>
      </c>
      <c r="F946" t="s">
        <v>19</v>
      </c>
      <c r="G946" t="s">
        <v>28</v>
      </c>
      <c r="H946" t="s">
        <v>76</v>
      </c>
      <c r="I946" t="s">
        <v>119</v>
      </c>
      <c r="J946">
        <v>3</v>
      </c>
      <c r="K946" s="4">
        <v>925.69</v>
      </c>
      <c r="L946" s="2">
        <v>2777.07</v>
      </c>
      <c r="M946">
        <v>0.1</v>
      </c>
      <c r="N946" s="4">
        <v>1055.42</v>
      </c>
      <c r="O946" t="s">
        <v>23</v>
      </c>
      <c r="P946">
        <v>6</v>
      </c>
    </row>
    <row r="947" spans="1:16" x14ac:dyDescent="0.35">
      <c r="A947" t="s">
        <v>2474</v>
      </c>
      <c r="B947" s="10" t="s">
        <v>2104</v>
      </c>
      <c r="C947" s="11" t="str">
        <f t="shared" si="14"/>
        <v>October</v>
      </c>
      <c r="D947" t="s">
        <v>1201</v>
      </c>
      <c r="E947" t="s">
        <v>2475</v>
      </c>
      <c r="F947" t="s">
        <v>19</v>
      </c>
      <c r="G947" t="s">
        <v>37</v>
      </c>
      <c r="H947" t="s">
        <v>29</v>
      </c>
      <c r="I947" t="s">
        <v>62</v>
      </c>
      <c r="J947">
        <v>4</v>
      </c>
      <c r="K947" s="4">
        <v>472.16</v>
      </c>
      <c r="L947" s="2">
        <v>1888.64</v>
      </c>
      <c r="M947">
        <v>0.2</v>
      </c>
      <c r="N947" s="4">
        <v>530.57000000000005</v>
      </c>
      <c r="O947" t="s">
        <v>39</v>
      </c>
      <c r="P947">
        <v>2</v>
      </c>
    </row>
    <row r="948" spans="1:16" x14ac:dyDescent="0.35">
      <c r="A948" t="s">
        <v>2476</v>
      </c>
      <c r="B948" s="10" t="s">
        <v>1040</v>
      </c>
      <c r="C948" s="11" t="str">
        <f t="shared" si="14"/>
        <v>April</v>
      </c>
      <c r="D948" t="s">
        <v>282</v>
      </c>
      <c r="E948" t="s">
        <v>2477</v>
      </c>
      <c r="F948" t="s">
        <v>36</v>
      </c>
      <c r="G948" t="s">
        <v>37</v>
      </c>
      <c r="H948" t="s">
        <v>21</v>
      </c>
      <c r="I948" t="s">
        <v>82</v>
      </c>
      <c r="J948">
        <v>9</v>
      </c>
      <c r="K948" s="4">
        <v>701.89</v>
      </c>
      <c r="L948" s="2">
        <v>6317.01</v>
      </c>
      <c r="M948">
        <v>0.3</v>
      </c>
      <c r="N948" s="4">
        <v>997.07</v>
      </c>
      <c r="O948" t="s">
        <v>39</v>
      </c>
      <c r="P948">
        <v>1</v>
      </c>
    </row>
    <row r="949" spans="1:16" x14ac:dyDescent="0.35">
      <c r="A949" t="s">
        <v>2478</v>
      </c>
      <c r="B949" s="10" t="s">
        <v>804</v>
      </c>
      <c r="C949" s="11" t="str">
        <f t="shared" si="14"/>
        <v>January</v>
      </c>
      <c r="D949" t="s">
        <v>514</v>
      </c>
      <c r="E949" t="s">
        <v>2479</v>
      </c>
      <c r="F949" t="s">
        <v>44</v>
      </c>
      <c r="G949" t="s">
        <v>37</v>
      </c>
      <c r="H949" t="s">
        <v>29</v>
      </c>
      <c r="I949" t="s">
        <v>30</v>
      </c>
      <c r="J949">
        <v>6</v>
      </c>
      <c r="K949" s="4">
        <v>678.88</v>
      </c>
      <c r="L949" s="2">
        <v>4073.28</v>
      </c>
      <c r="M949">
        <v>0.05</v>
      </c>
      <c r="N949" s="4">
        <v>702.87</v>
      </c>
      <c r="O949" t="s">
        <v>39</v>
      </c>
      <c r="P949">
        <v>8</v>
      </c>
    </row>
    <row r="950" spans="1:16" x14ac:dyDescent="0.35">
      <c r="A950" t="s">
        <v>2480</v>
      </c>
      <c r="B950" s="10" t="s">
        <v>945</v>
      </c>
      <c r="C950" s="11" t="str">
        <f t="shared" si="14"/>
        <v>March</v>
      </c>
      <c r="D950" t="s">
        <v>1865</v>
      </c>
      <c r="E950" t="s">
        <v>2481</v>
      </c>
      <c r="F950" t="s">
        <v>19</v>
      </c>
      <c r="G950" t="s">
        <v>37</v>
      </c>
      <c r="H950" t="s">
        <v>29</v>
      </c>
      <c r="I950" t="s">
        <v>100</v>
      </c>
      <c r="J950">
        <v>7</v>
      </c>
      <c r="K950" s="4">
        <v>306.14999999999998</v>
      </c>
      <c r="L950" s="2">
        <v>2143.0500000000002</v>
      </c>
      <c r="M950">
        <v>0.05</v>
      </c>
      <c r="N950" s="4">
        <v>1074.25</v>
      </c>
      <c r="O950" t="s">
        <v>39</v>
      </c>
      <c r="P950">
        <v>1</v>
      </c>
    </row>
    <row r="951" spans="1:16" x14ac:dyDescent="0.35">
      <c r="A951" t="s">
        <v>2482</v>
      </c>
      <c r="B951" s="10" t="s">
        <v>963</v>
      </c>
      <c r="C951" s="11" t="str">
        <f t="shared" si="14"/>
        <v>February</v>
      </c>
      <c r="D951" t="s">
        <v>940</v>
      </c>
      <c r="E951" t="s">
        <v>2483</v>
      </c>
      <c r="F951" t="s">
        <v>19</v>
      </c>
      <c r="G951" t="s">
        <v>37</v>
      </c>
      <c r="H951" t="s">
        <v>21</v>
      </c>
      <c r="I951" t="s">
        <v>82</v>
      </c>
      <c r="J951">
        <v>6</v>
      </c>
      <c r="K951" s="4">
        <v>83.82</v>
      </c>
      <c r="L951" s="2">
        <v>502.92</v>
      </c>
      <c r="M951">
        <v>0</v>
      </c>
      <c r="N951" s="4">
        <v>143.28</v>
      </c>
      <c r="O951" t="s">
        <v>31</v>
      </c>
      <c r="P951">
        <v>3</v>
      </c>
    </row>
    <row r="952" spans="1:16" x14ac:dyDescent="0.35">
      <c r="A952" t="s">
        <v>2484</v>
      </c>
      <c r="B952" s="10" t="s">
        <v>643</v>
      </c>
      <c r="C952" s="11" t="str">
        <f t="shared" si="14"/>
        <v>August</v>
      </c>
      <c r="D952" t="s">
        <v>167</v>
      </c>
      <c r="E952" t="s">
        <v>2485</v>
      </c>
      <c r="F952" t="s">
        <v>36</v>
      </c>
      <c r="G952" t="s">
        <v>28</v>
      </c>
      <c r="H952" t="s">
        <v>76</v>
      </c>
      <c r="I952" t="s">
        <v>119</v>
      </c>
      <c r="J952">
        <v>2</v>
      </c>
      <c r="K952" s="4">
        <v>309.14999999999998</v>
      </c>
      <c r="L952" s="2">
        <v>618.29999999999995</v>
      </c>
      <c r="M952">
        <v>0</v>
      </c>
      <c r="N952" s="4">
        <v>199.29</v>
      </c>
      <c r="O952" t="s">
        <v>23</v>
      </c>
      <c r="P952">
        <v>3</v>
      </c>
    </row>
    <row r="953" spans="1:16" x14ac:dyDescent="0.35">
      <c r="A953" t="s">
        <v>2486</v>
      </c>
      <c r="B953" s="10" t="s">
        <v>285</v>
      </c>
      <c r="C953" s="11" t="str">
        <f t="shared" si="14"/>
        <v>November</v>
      </c>
      <c r="D953" t="s">
        <v>863</v>
      </c>
      <c r="E953" t="s">
        <v>2487</v>
      </c>
      <c r="F953" t="s">
        <v>36</v>
      </c>
      <c r="G953" t="s">
        <v>57</v>
      </c>
      <c r="H953" t="s">
        <v>21</v>
      </c>
      <c r="I953" t="s">
        <v>71</v>
      </c>
      <c r="J953">
        <v>5</v>
      </c>
      <c r="K953" s="4">
        <v>574.82000000000005</v>
      </c>
      <c r="L953" s="2">
        <v>2874.1</v>
      </c>
      <c r="M953">
        <v>0.3</v>
      </c>
      <c r="N953" s="4">
        <v>835.06</v>
      </c>
      <c r="O953" t="s">
        <v>31</v>
      </c>
      <c r="P953">
        <v>3</v>
      </c>
    </row>
    <row r="954" spans="1:16" x14ac:dyDescent="0.35">
      <c r="A954" t="s">
        <v>2488</v>
      </c>
      <c r="B954" s="10" t="s">
        <v>79</v>
      </c>
      <c r="C954" s="11" t="str">
        <f t="shared" si="14"/>
        <v>January</v>
      </c>
      <c r="D954" t="s">
        <v>510</v>
      </c>
      <c r="E954" t="s">
        <v>2489</v>
      </c>
      <c r="F954" t="s">
        <v>44</v>
      </c>
      <c r="G954" t="s">
        <v>28</v>
      </c>
      <c r="H954" t="s">
        <v>29</v>
      </c>
      <c r="I954" t="s">
        <v>62</v>
      </c>
      <c r="J954">
        <v>1</v>
      </c>
      <c r="K954" s="4">
        <v>732.92</v>
      </c>
      <c r="L954" s="2">
        <v>732.92</v>
      </c>
      <c r="M954">
        <v>0.05</v>
      </c>
      <c r="N954" s="4">
        <v>242.78</v>
      </c>
      <c r="O954" t="s">
        <v>23</v>
      </c>
      <c r="P954">
        <v>5</v>
      </c>
    </row>
    <row r="955" spans="1:16" x14ac:dyDescent="0.35">
      <c r="A955" t="s">
        <v>2490</v>
      </c>
      <c r="B955" s="10" t="s">
        <v>1188</v>
      </c>
      <c r="C955" s="11" t="str">
        <f t="shared" si="14"/>
        <v>May</v>
      </c>
      <c r="D955" t="s">
        <v>1448</v>
      </c>
      <c r="E955" t="s">
        <v>2491</v>
      </c>
      <c r="F955" t="s">
        <v>19</v>
      </c>
      <c r="G955" t="s">
        <v>28</v>
      </c>
      <c r="H955" t="s">
        <v>21</v>
      </c>
      <c r="I955" t="s">
        <v>71</v>
      </c>
      <c r="J955">
        <v>5</v>
      </c>
      <c r="K955" s="4">
        <v>857.04</v>
      </c>
      <c r="L955" s="2">
        <v>4285.2</v>
      </c>
      <c r="M955">
        <v>0.15</v>
      </c>
      <c r="N955" s="4">
        <v>646.24</v>
      </c>
      <c r="O955" t="s">
        <v>31</v>
      </c>
      <c r="P955">
        <v>4</v>
      </c>
    </row>
    <row r="956" spans="1:16" x14ac:dyDescent="0.35">
      <c r="A956" t="s">
        <v>2492</v>
      </c>
      <c r="B956" s="10" t="s">
        <v>785</v>
      </c>
      <c r="C956" s="11" t="str">
        <f t="shared" si="14"/>
        <v>October</v>
      </c>
      <c r="D956" t="s">
        <v>602</v>
      </c>
      <c r="E956" t="s">
        <v>2493</v>
      </c>
      <c r="F956" t="s">
        <v>36</v>
      </c>
      <c r="G956" t="s">
        <v>28</v>
      </c>
      <c r="H956" t="s">
        <v>76</v>
      </c>
      <c r="I956" t="s">
        <v>177</v>
      </c>
      <c r="J956">
        <v>1</v>
      </c>
      <c r="K956" s="4">
        <v>278.31</v>
      </c>
      <c r="L956" s="2">
        <v>278.31</v>
      </c>
      <c r="M956">
        <v>0.05</v>
      </c>
      <c r="N956" s="4">
        <v>58.43</v>
      </c>
      <c r="O956" t="s">
        <v>39</v>
      </c>
      <c r="P956">
        <v>6</v>
      </c>
    </row>
    <row r="957" spans="1:16" x14ac:dyDescent="0.35">
      <c r="A957" t="s">
        <v>2494</v>
      </c>
      <c r="B957" s="10" t="s">
        <v>1145</v>
      </c>
      <c r="C957" s="11" t="str">
        <f t="shared" si="14"/>
        <v>April</v>
      </c>
      <c r="D957" t="s">
        <v>566</v>
      </c>
      <c r="E957" t="s">
        <v>2495</v>
      </c>
      <c r="F957" t="s">
        <v>36</v>
      </c>
      <c r="G957" t="s">
        <v>20</v>
      </c>
      <c r="H957" t="s">
        <v>21</v>
      </c>
      <c r="I957" t="s">
        <v>82</v>
      </c>
      <c r="J957">
        <v>7</v>
      </c>
      <c r="K957" s="4">
        <v>214.49</v>
      </c>
      <c r="L957" s="2">
        <v>1501.43</v>
      </c>
      <c r="M957">
        <v>0.1</v>
      </c>
      <c r="N957" s="4">
        <v>393.69</v>
      </c>
      <c r="O957" t="s">
        <v>31</v>
      </c>
      <c r="P957">
        <v>6</v>
      </c>
    </row>
    <row r="958" spans="1:16" x14ac:dyDescent="0.35">
      <c r="A958" t="s">
        <v>2496</v>
      </c>
      <c r="B958" s="10" t="s">
        <v>971</v>
      </c>
      <c r="C958" s="11" t="str">
        <f t="shared" si="14"/>
        <v>February</v>
      </c>
      <c r="D958" t="s">
        <v>546</v>
      </c>
      <c r="E958" t="s">
        <v>2497</v>
      </c>
      <c r="F958" t="s">
        <v>19</v>
      </c>
      <c r="G958" t="s">
        <v>20</v>
      </c>
      <c r="H958" t="s">
        <v>21</v>
      </c>
      <c r="I958" t="s">
        <v>38</v>
      </c>
      <c r="J958">
        <v>1</v>
      </c>
      <c r="K958" s="4">
        <v>302.64999999999998</v>
      </c>
      <c r="L958" s="2">
        <v>302.64999999999998</v>
      </c>
      <c r="M958">
        <v>0.05</v>
      </c>
      <c r="N958" s="4">
        <v>95.85</v>
      </c>
      <c r="O958" t="s">
        <v>39</v>
      </c>
      <c r="P958">
        <v>4</v>
      </c>
    </row>
    <row r="959" spans="1:16" x14ac:dyDescent="0.35">
      <c r="A959" t="s">
        <v>2498</v>
      </c>
      <c r="B959" s="10" t="s">
        <v>1034</v>
      </c>
      <c r="C959" s="11" t="str">
        <f t="shared" si="14"/>
        <v>October</v>
      </c>
      <c r="D959" t="s">
        <v>367</v>
      </c>
      <c r="E959" t="s">
        <v>2165</v>
      </c>
      <c r="F959" t="s">
        <v>19</v>
      </c>
      <c r="G959" t="s">
        <v>28</v>
      </c>
      <c r="H959" t="s">
        <v>21</v>
      </c>
      <c r="I959" t="s">
        <v>105</v>
      </c>
      <c r="J959">
        <v>1</v>
      </c>
      <c r="K959" s="4">
        <v>303.60000000000002</v>
      </c>
      <c r="L959" s="2">
        <v>303.60000000000002</v>
      </c>
      <c r="M959">
        <v>0</v>
      </c>
      <c r="N959" s="4">
        <v>48.37</v>
      </c>
      <c r="O959" t="s">
        <v>31</v>
      </c>
      <c r="P959">
        <v>1</v>
      </c>
    </row>
    <row r="960" spans="1:16" x14ac:dyDescent="0.35">
      <c r="A960" t="s">
        <v>2499</v>
      </c>
      <c r="B960" s="10" t="s">
        <v>432</v>
      </c>
      <c r="C960" s="11" t="str">
        <f t="shared" si="14"/>
        <v>July</v>
      </c>
      <c r="D960" t="s">
        <v>85</v>
      </c>
      <c r="E960" t="s">
        <v>2500</v>
      </c>
      <c r="F960" t="s">
        <v>36</v>
      </c>
      <c r="G960" t="s">
        <v>57</v>
      </c>
      <c r="H960" t="s">
        <v>76</v>
      </c>
      <c r="I960" t="s">
        <v>77</v>
      </c>
      <c r="J960">
        <v>5</v>
      </c>
      <c r="K960" s="4">
        <v>30</v>
      </c>
      <c r="L960" s="2">
        <v>150</v>
      </c>
      <c r="M960">
        <v>0.1</v>
      </c>
      <c r="N960" s="4">
        <v>33.659999999999997</v>
      </c>
      <c r="O960" t="s">
        <v>39</v>
      </c>
      <c r="P960">
        <v>6</v>
      </c>
    </row>
    <row r="961" spans="1:16" x14ac:dyDescent="0.35">
      <c r="A961" t="s">
        <v>2501</v>
      </c>
      <c r="B961" s="10" t="s">
        <v>569</v>
      </c>
      <c r="C961" s="11" t="str">
        <f t="shared" si="14"/>
        <v>September</v>
      </c>
      <c r="D961" t="s">
        <v>926</v>
      </c>
      <c r="E961" t="s">
        <v>2502</v>
      </c>
      <c r="F961" t="s">
        <v>36</v>
      </c>
      <c r="G961" t="s">
        <v>20</v>
      </c>
      <c r="H961" t="s">
        <v>29</v>
      </c>
      <c r="I961" t="s">
        <v>62</v>
      </c>
      <c r="J961">
        <v>2</v>
      </c>
      <c r="K961" s="4">
        <v>410.96</v>
      </c>
      <c r="L961" s="2">
        <v>821.92</v>
      </c>
      <c r="M961">
        <v>0.3</v>
      </c>
      <c r="N961" s="4">
        <v>200.55</v>
      </c>
      <c r="O961" t="s">
        <v>23</v>
      </c>
      <c r="P961">
        <v>7</v>
      </c>
    </row>
    <row r="962" spans="1:16" x14ac:dyDescent="0.35">
      <c r="A962" t="s">
        <v>2503</v>
      </c>
      <c r="B962" s="10" t="s">
        <v>509</v>
      </c>
      <c r="C962" s="11" t="str">
        <f t="shared" si="14"/>
        <v>February</v>
      </c>
      <c r="D962" t="s">
        <v>378</v>
      </c>
      <c r="E962" t="s">
        <v>2504</v>
      </c>
      <c r="F962" t="s">
        <v>36</v>
      </c>
      <c r="G962" t="s">
        <v>37</v>
      </c>
      <c r="H962" t="s">
        <v>76</v>
      </c>
      <c r="I962" t="s">
        <v>177</v>
      </c>
      <c r="J962">
        <v>1</v>
      </c>
      <c r="K962" s="4">
        <v>362.34</v>
      </c>
      <c r="L962" s="2">
        <v>362.34</v>
      </c>
      <c r="M962">
        <v>0.05</v>
      </c>
      <c r="N962" s="4">
        <v>95.37</v>
      </c>
      <c r="O962" t="s">
        <v>31</v>
      </c>
      <c r="P962">
        <v>3</v>
      </c>
    </row>
    <row r="963" spans="1:16" x14ac:dyDescent="0.35">
      <c r="A963" t="s">
        <v>2505</v>
      </c>
      <c r="B963" s="10" t="s">
        <v>310</v>
      </c>
      <c r="C963" s="11" t="str">
        <f t="shared" ref="C963:C1001" si="15">TEXT(B963,"MMMM")</f>
        <v>September</v>
      </c>
      <c r="D963" t="s">
        <v>461</v>
      </c>
      <c r="E963" t="s">
        <v>2506</v>
      </c>
      <c r="F963" t="s">
        <v>44</v>
      </c>
      <c r="G963" t="s">
        <v>28</v>
      </c>
      <c r="H963" t="s">
        <v>21</v>
      </c>
      <c r="I963" t="s">
        <v>105</v>
      </c>
      <c r="J963">
        <v>9</v>
      </c>
      <c r="K963" s="4">
        <v>629.23</v>
      </c>
      <c r="L963" s="2">
        <v>5663.07</v>
      </c>
      <c r="M963">
        <v>0.3</v>
      </c>
      <c r="N963" s="4">
        <v>1215.03</v>
      </c>
      <c r="O963" t="s">
        <v>31</v>
      </c>
      <c r="P963">
        <v>6</v>
      </c>
    </row>
    <row r="964" spans="1:16" x14ac:dyDescent="0.35">
      <c r="A964" t="s">
        <v>2507</v>
      </c>
      <c r="B964" s="10" t="s">
        <v>1650</v>
      </c>
      <c r="C964" s="11" t="str">
        <f t="shared" si="15"/>
        <v>December</v>
      </c>
      <c r="D964" t="s">
        <v>926</v>
      </c>
      <c r="E964" t="s">
        <v>2508</v>
      </c>
      <c r="F964" t="s">
        <v>19</v>
      </c>
      <c r="G964" t="s">
        <v>28</v>
      </c>
      <c r="H964" t="s">
        <v>76</v>
      </c>
      <c r="I964" t="s">
        <v>87</v>
      </c>
      <c r="J964">
        <v>10</v>
      </c>
      <c r="K964" s="4">
        <v>1030.02</v>
      </c>
      <c r="L964" s="2">
        <v>10300.200000000001</v>
      </c>
      <c r="M964">
        <v>0.15</v>
      </c>
      <c r="N964" s="4">
        <v>4675.22</v>
      </c>
      <c r="O964" t="s">
        <v>31</v>
      </c>
      <c r="P964">
        <v>4</v>
      </c>
    </row>
    <row r="965" spans="1:16" x14ac:dyDescent="0.35">
      <c r="A965" t="s">
        <v>2509</v>
      </c>
      <c r="B965" s="10" t="s">
        <v>1207</v>
      </c>
      <c r="C965" s="11" t="str">
        <f t="shared" si="15"/>
        <v>September</v>
      </c>
      <c r="D965" t="s">
        <v>1639</v>
      </c>
      <c r="E965" t="s">
        <v>2510</v>
      </c>
      <c r="F965" t="s">
        <v>36</v>
      </c>
      <c r="G965" t="s">
        <v>37</v>
      </c>
      <c r="H965" t="s">
        <v>21</v>
      </c>
      <c r="I965" t="s">
        <v>71</v>
      </c>
      <c r="J965">
        <v>2</v>
      </c>
      <c r="K965" s="4">
        <v>1150.46</v>
      </c>
      <c r="L965" s="2">
        <v>2300.92</v>
      </c>
      <c r="M965">
        <v>0.2</v>
      </c>
      <c r="N965" s="4">
        <v>550.16999999999996</v>
      </c>
      <c r="O965" t="s">
        <v>39</v>
      </c>
      <c r="P965">
        <v>9</v>
      </c>
    </row>
    <row r="966" spans="1:16" x14ac:dyDescent="0.35">
      <c r="A966" t="s">
        <v>2511</v>
      </c>
      <c r="B966" s="10" t="s">
        <v>565</v>
      </c>
      <c r="C966" s="11" t="str">
        <f t="shared" si="15"/>
        <v>March</v>
      </c>
      <c r="D966" t="s">
        <v>48</v>
      </c>
      <c r="E966" t="s">
        <v>2512</v>
      </c>
      <c r="F966" t="s">
        <v>44</v>
      </c>
      <c r="G966" t="s">
        <v>57</v>
      </c>
      <c r="H966" t="s">
        <v>29</v>
      </c>
      <c r="I966" t="s">
        <v>45</v>
      </c>
      <c r="J966">
        <v>2</v>
      </c>
      <c r="K966" s="4">
        <v>556.66999999999996</v>
      </c>
      <c r="L966" s="2">
        <v>1113.3399999999999</v>
      </c>
      <c r="M966">
        <v>0.05</v>
      </c>
      <c r="N966" s="4">
        <v>186.55</v>
      </c>
      <c r="O966" t="s">
        <v>39</v>
      </c>
      <c r="P966">
        <v>2</v>
      </c>
    </row>
    <row r="967" spans="1:16" x14ac:dyDescent="0.35">
      <c r="A967" t="s">
        <v>2513</v>
      </c>
      <c r="B967" s="10" t="s">
        <v>701</v>
      </c>
      <c r="C967" s="11" t="str">
        <f t="shared" si="15"/>
        <v>August</v>
      </c>
      <c r="D967" t="s">
        <v>937</v>
      </c>
      <c r="E967" t="s">
        <v>2514</v>
      </c>
      <c r="F967" t="s">
        <v>36</v>
      </c>
      <c r="G967" t="s">
        <v>20</v>
      </c>
      <c r="H967" t="s">
        <v>29</v>
      </c>
      <c r="I967" t="s">
        <v>224</v>
      </c>
      <c r="J967">
        <v>8</v>
      </c>
      <c r="K967" s="4">
        <v>324.37</v>
      </c>
      <c r="L967" s="2">
        <v>2594.96</v>
      </c>
      <c r="M967">
        <v>0.15</v>
      </c>
      <c r="N967" s="4">
        <v>349.84</v>
      </c>
      <c r="O967" t="s">
        <v>23</v>
      </c>
      <c r="P967">
        <v>8</v>
      </c>
    </row>
    <row r="968" spans="1:16" x14ac:dyDescent="0.35">
      <c r="A968" t="s">
        <v>2515</v>
      </c>
      <c r="B968" s="10" t="s">
        <v>162</v>
      </c>
      <c r="C968" s="11" t="str">
        <f t="shared" si="15"/>
        <v>March</v>
      </c>
      <c r="D968" t="s">
        <v>406</v>
      </c>
      <c r="E968" t="s">
        <v>2516</v>
      </c>
      <c r="F968" t="s">
        <v>44</v>
      </c>
      <c r="G968" t="s">
        <v>57</v>
      </c>
      <c r="H968" t="s">
        <v>29</v>
      </c>
      <c r="I968" t="s">
        <v>110</v>
      </c>
      <c r="J968">
        <v>5</v>
      </c>
      <c r="K968" s="4">
        <v>493.11</v>
      </c>
      <c r="L968" s="2">
        <v>2465.5500000000002</v>
      </c>
      <c r="M968">
        <v>0.2</v>
      </c>
      <c r="N968" s="4">
        <v>361.24</v>
      </c>
      <c r="O968" t="s">
        <v>39</v>
      </c>
      <c r="P968">
        <v>2</v>
      </c>
    </row>
    <row r="969" spans="1:16" x14ac:dyDescent="0.35">
      <c r="A969" t="s">
        <v>2517</v>
      </c>
      <c r="B969" s="10" t="s">
        <v>64</v>
      </c>
      <c r="C969" s="11" t="str">
        <f t="shared" si="15"/>
        <v>November</v>
      </c>
      <c r="D969" t="s">
        <v>976</v>
      </c>
      <c r="E969" t="s">
        <v>2518</v>
      </c>
      <c r="F969" t="s">
        <v>19</v>
      </c>
      <c r="G969" t="s">
        <v>37</v>
      </c>
      <c r="H969" t="s">
        <v>21</v>
      </c>
      <c r="I969" t="s">
        <v>82</v>
      </c>
      <c r="J969">
        <v>9</v>
      </c>
      <c r="K969" s="4">
        <v>551.11</v>
      </c>
      <c r="L969" s="2">
        <v>4959.99</v>
      </c>
      <c r="M969">
        <v>0.3</v>
      </c>
      <c r="N969" s="4">
        <v>1850.33</v>
      </c>
      <c r="O969" t="s">
        <v>23</v>
      </c>
      <c r="P969">
        <v>9</v>
      </c>
    </row>
    <row r="970" spans="1:16" x14ac:dyDescent="0.35">
      <c r="A970" t="s">
        <v>2519</v>
      </c>
      <c r="B970" s="10" t="s">
        <v>963</v>
      </c>
      <c r="C970" s="11" t="str">
        <f t="shared" si="15"/>
        <v>February</v>
      </c>
      <c r="D970" t="s">
        <v>184</v>
      </c>
      <c r="E970" t="s">
        <v>2520</v>
      </c>
      <c r="F970" t="s">
        <v>44</v>
      </c>
      <c r="G970" t="s">
        <v>28</v>
      </c>
      <c r="H970" t="s">
        <v>29</v>
      </c>
      <c r="I970" t="s">
        <v>224</v>
      </c>
      <c r="J970">
        <v>2</v>
      </c>
      <c r="K970" s="4">
        <v>362.98</v>
      </c>
      <c r="L970" s="2">
        <v>725.96</v>
      </c>
      <c r="M970">
        <v>0.05</v>
      </c>
      <c r="N970" s="4">
        <v>222.03</v>
      </c>
      <c r="O970" t="s">
        <v>23</v>
      </c>
      <c r="P970">
        <v>2</v>
      </c>
    </row>
    <row r="971" spans="1:16" x14ac:dyDescent="0.35">
      <c r="A971" t="s">
        <v>2521</v>
      </c>
      <c r="B971" s="10" t="s">
        <v>545</v>
      </c>
      <c r="C971" s="11" t="str">
        <f t="shared" si="15"/>
        <v>April</v>
      </c>
      <c r="D971" t="s">
        <v>651</v>
      </c>
      <c r="E971" t="s">
        <v>2522</v>
      </c>
      <c r="F971" t="s">
        <v>36</v>
      </c>
      <c r="G971" t="s">
        <v>28</v>
      </c>
      <c r="H971" t="s">
        <v>76</v>
      </c>
      <c r="I971" t="s">
        <v>128</v>
      </c>
      <c r="J971">
        <v>8</v>
      </c>
      <c r="K971" s="4">
        <v>778.13</v>
      </c>
      <c r="L971" s="2">
        <v>6225.04</v>
      </c>
      <c r="M971">
        <v>0.15</v>
      </c>
      <c r="N971" s="4">
        <v>2679.25</v>
      </c>
      <c r="O971" t="s">
        <v>39</v>
      </c>
      <c r="P971">
        <v>4</v>
      </c>
    </row>
    <row r="972" spans="1:16" x14ac:dyDescent="0.35">
      <c r="A972" t="s">
        <v>2523</v>
      </c>
      <c r="B972" s="10" t="s">
        <v>735</v>
      </c>
      <c r="C972" s="11" t="str">
        <f t="shared" si="15"/>
        <v>December</v>
      </c>
      <c r="D972" t="s">
        <v>549</v>
      </c>
      <c r="E972" t="s">
        <v>2524</v>
      </c>
      <c r="F972" t="s">
        <v>44</v>
      </c>
      <c r="G972" t="s">
        <v>20</v>
      </c>
      <c r="H972" t="s">
        <v>76</v>
      </c>
      <c r="I972" t="s">
        <v>87</v>
      </c>
      <c r="J972">
        <v>2</v>
      </c>
      <c r="K972" s="4">
        <v>394.4</v>
      </c>
      <c r="L972" s="2">
        <v>788.8</v>
      </c>
      <c r="M972">
        <v>0.2</v>
      </c>
      <c r="N972" s="4">
        <v>224.32</v>
      </c>
      <c r="O972" t="s">
        <v>39</v>
      </c>
      <c r="P972">
        <v>8</v>
      </c>
    </row>
    <row r="973" spans="1:16" x14ac:dyDescent="0.35">
      <c r="A973" t="s">
        <v>2525</v>
      </c>
      <c r="B973" s="10" t="s">
        <v>650</v>
      </c>
      <c r="C973" s="11" t="str">
        <f t="shared" si="15"/>
        <v>June</v>
      </c>
      <c r="D973" t="s">
        <v>94</v>
      </c>
      <c r="E973" t="s">
        <v>2526</v>
      </c>
      <c r="F973" t="s">
        <v>36</v>
      </c>
      <c r="G973" t="s">
        <v>28</v>
      </c>
      <c r="H973" t="s">
        <v>29</v>
      </c>
      <c r="I973" t="s">
        <v>100</v>
      </c>
      <c r="J973">
        <v>3</v>
      </c>
      <c r="K973" s="4">
        <v>1139.27</v>
      </c>
      <c r="L973" s="2">
        <v>3417.81</v>
      </c>
      <c r="M973">
        <v>0.05</v>
      </c>
      <c r="N973" s="4">
        <v>954.31</v>
      </c>
      <c r="O973" t="s">
        <v>31</v>
      </c>
      <c r="P973">
        <v>6</v>
      </c>
    </row>
    <row r="974" spans="1:16" x14ac:dyDescent="0.35">
      <c r="A974" t="s">
        <v>2527</v>
      </c>
      <c r="B974" s="10" t="s">
        <v>1104</v>
      </c>
      <c r="C974" s="11" t="str">
        <f t="shared" si="15"/>
        <v>December</v>
      </c>
      <c r="D974" t="s">
        <v>74</v>
      </c>
      <c r="E974" t="s">
        <v>2528</v>
      </c>
      <c r="F974" t="s">
        <v>44</v>
      </c>
      <c r="G974" t="s">
        <v>57</v>
      </c>
      <c r="H974" t="s">
        <v>76</v>
      </c>
      <c r="I974" t="s">
        <v>128</v>
      </c>
      <c r="J974">
        <v>4</v>
      </c>
      <c r="K974" s="4">
        <v>83.81</v>
      </c>
      <c r="L974" s="2">
        <v>335.24</v>
      </c>
      <c r="M974">
        <v>0</v>
      </c>
      <c r="N974" s="4">
        <v>56.64</v>
      </c>
      <c r="O974" t="s">
        <v>23</v>
      </c>
      <c r="P974">
        <v>3</v>
      </c>
    </row>
    <row r="975" spans="1:16" x14ac:dyDescent="0.35">
      <c r="A975" t="s">
        <v>2529</v>
      </c>
      <c r="B975" s="10" t="s">
        <v>1650</v>
      </c>
      <c r="C975" s="11" t="str">
        <f t="shared" si="15"/>
        <v>December</v>
      </c>
      <c r="D975" t="s">
        <v>530</v>
      </c>
      <c r="E975" t="s">
        <v>2530</v>
      </c>
      <c r="F975" t="s">
        <v>44</v>
      </c>
      <c r="G975" t="s">
        <v>37</v>
      </c>
      <c r="H975" t="s">
        <v>29</v>
      </c>
      <c r="I975" t="s">
        <v>224</v>
      </c>
      <c r="J975">
        <v>2</v>
      </c>
      <c r="K975" s="4">
        <v>343.21</v>
      </c>
      <c r="L975" s="2">
        <v>686.42</v>
      </c>
      <c r="M975">
        <v>0</v>
      </c>
      <c r="N975" s="4">
        <v>295.62</v>
      </c>
      <c r="O975" t="s">
        <v>23</v>
      </c>
      <c r="P975">
        <v>5</v>
      </c>
    </row>
    <row r="976" spans="1:16" x14ac:dyDescent="0.35">
      <c r="A976" t="s">
        <v>2531</v>
      </c>
      <c r="B976" s="10" t="s">
        <v>240</v>
      </c>
      <c r="C976" s="11" t="str">
        <f t="shared" si="15"/>
        <v>June</v>
      </c>
      <c r="D976" t="s">
        <v>980</v>
      </c>
      <c r="E976" t="s">
        <v>2532</v>
      </c>
      <c r="F976" t="s">
        <v>36</v>
      </c>
      <c r="G976" t="s">
        <v>57</v>
      </c>
      <c r="H976" t="s">
        <v>29</v>
      </c>
      <c r="I976" t="s">
        <v>30</v>
      </c>
      <c r="J976">
        <v>2</v>
      </c>
      <c r="K976" s="4">
        <v>1076.05</v>
      </c>
      <c r="L976" s="2">
        <v>2152.1</v>
      </c>
      <c r="M976">
        <v>0.15</v>
      </c>
      <c r="N976" s="4">
        <v>755.85</v>
      </c>
      <c r="O976" t="s">
        <v>39</v>
      </c>
      <c r="P976">
        <v>8</v>
      </c>
    </row>
    <row r="977" spans="1:16" x14ac:dyDescent="0.35">
      <c r="A977" t="s">
        <v>2533</v>
      </c>
      <c r="B977" s="10" t="s">
        <v>552</v>
      </c>
      <c r="C977" s="11" t="str">
        <f t="shared" si="15"/>
        <v>December</v>
      </c>
      <c r="D977" t="s">
        <v>627</v>
      </c>
      <c r="E977" t="s">
        <v>2534</v>
      </c>
      <c r="F977" t="s">
        <v>44</v>
      </c>
      <c r="G977" t="s">
        <v>20</v>
      </c>
      <c r="H977" t="s">
        <v>76</v>
      </c>
      <c r="I977" t="s">
        <v>177</v>
      </c>
      <c r="J977">
        <v>3</v>
      </c>
      <c r="K977" s="4">
        <v>1159.4000000000001</v>
      </c>
      <c r="L977" s="2">
        <v>3478.2</v>
      </c>
      <c r="M977">
        <v>0.15</v>
      </c>
      <c r="N977" s="4">
        <v>1206.5999999999999</v>
      </c>
      <c r="O977" t="s">
        <v>23</v>
      </c>
      <c r="P977">
        <v>10</v>
      </c>
    </row>
    <row r="978" spans="1:16" x14ac:dyDescent="0.35">
      <c r="A978" t="s">
        <v>2535</v>
      </c>
      <c r="B978" s="10" t="s">
        <v>377</v>
      </c>
      <c r="C978" s="11" t="str">
        <f t="shared" si="15"/>
        <v>June</v>
      </c>
      <c r="D978" t="s">
        <v>1468</v>
      </c>
      <c r="E978" t="s">
        <v>2536</v>
      </c>
      <c r="F978" t="s">
        <v>36</v>
      </c>
      <c r="G978" t="s">
        <v>28</v>
      </c>
      <c r="H978" t="s">
        <v>29</v>
      </c>
      <c r="I978" t="s">
        <v>30</v>
      </c>
      <c r="J978">
        <v>10</v>
      </c>
      <c r="K978" s="4">
        <v>747.48</v>
      </c>
      <c r="L978" s="2">
        <v>7474.8</v>
      </c>
      <c r="M978">
        <v>0.1</v>
      </c>
      <c r="N978" s="4">
        <v>1913.08</v>
      </c>
      <c r="O978" t="s">
        <v>31</v>
      </c>
      <c r="P978">
        <v>8</v>
      </c>
    </row>
    <row r="979" spans="1:16" x14ac:dyDescent="0.35">
      <c r="A979" t="s">
        <v>2537</v>
      </c>
      <c r="B979" s="10" t="s">
        <v>317</v>
      </c>
      <c r="C979" s="11" t="str">
        <f t="shared" si="15"/>
        <v>August</v>
      </c>
      <c r="D979" t="s">
        <v>436</v>
      </c>
      <c r="E979" t="s">
        <v>2538</v>
      </c>
      <c r="F979" t="s">
        <v>19</v>
      </c>
      <c r="G979" t="s">
        <v>28</v>
      </c>
      <c r="H979" t="s">
        <v>76</v>
      </c>
      <c r="I979" t="s">
        <v>77</v>
      </c>
      <c r="J979">
        <v>7</v>
      </c>
      <c r="K979" s="4">
        <v>330.11</v>
      </c>
      <c r="L979" s="2">
        <v>2310.77</v>
      </c>
      <c r="M979">
        <v>0.3</v>
      </c>
      <c r="N979" s="4">
        <v>887.27</v>
      </c>
      <c r="O979" t="s">
        <v>23</v>
      </c>
      <c r="P979">
        <v>10</v>
      </c>
    </row>
    <row r="980" spans="1:16" x14ac:dyDescent="0.35">
      <c r="A980" t="s">
        <v>2539</v>
      </c>
      <c r="B980" s="10" t="s">
        <v>2540</v>
      </c>
      <c r="C980" s="11" t="str">
        <f t="shared" si="15"/>
        <v>October</v>
      </c>
      <c r="D980" t="s">
        <v>926</v>
      </c>
      <c r="E980" t="s">
        <v>2541</v>
      </c>
      <c r="F980" t="s">
        <v>36</v>
      </c>
      <c r="G980" t="s">
        <v>28</v>
      </c>
      <c r="H980" t="s">
        <v>29</v>
      </c>
      <c r="I980" t="s">
        <v>30</v>
      </c>
      <c r="J980">
        <v>4</v>
      </c>
      <c r="K980" s="4">
        <v>899.93</v>
      </c>
      <c r="L980" s="2">
        <v>3599.72</v>
      </c>
      <c r="M980">
        <v>0.05</v>
      </c>
      <c r="N980" s="4">
        <v>1306.0999999999999</v>
      </c>
      <c r="O980" t="s">
        <v>31</v>
      </c>
      <c r="P980">
        <v>6</v>
      </c>
    </row>
    <row r="981" spans="1:16" x14ac:dyDescent="0.35">
      <c r="A981" t="s">
        <v>2542</v>
      </c>
      <c r="B981" s="10" t="s">
        <v>1721</v>
      </c>
      <c r="C981" s="11" t="str">
        <f t="shared" si="15"/>
        <v>January</v>
      </c>
      <c r="D981" t="s">
        <v>395</v>
      </c>
      <c r="E981" t="s">
        <v>2543</v>
      </c>
      <c r="F981" t="s">
        <v>44</v>
      </c>
      <c r="G981" t="s">
        <v>20</v>
      </c>
      <c r="H981" t="s">
        <v>29</v>
      </c>
      <c r="I981" t="s">
        <v>224</v>
      </c>
      <c r="J981">
        <v>10</v>
      </c>
      <c r="K981" s="4">
        <v>1147.02</v>
      </c>
      <c r="L981" s="2">
        <v>11470.2</v>
      </c>
      <c r="M981">
        <v>0.1</v>
      </c>
      <c r="N981" s="4">
        <v>2317.4299999999998</v>
      </c>
      <c r="O981" t="s">
        <v>23</v>
      </c>
      <c r="P981">
        <v>8</v>
      </c>
    </row>
    <row r="982" spans="1:16" x14ac:dyDescent="0.35">
      <c r="A982" t="s">
        <v>2544</v>
      </c>
      <c r="B982" s="10" t="s">
        <v>725</v>
      </c>
      <c r="C982" s="11" t="str">
        <f t="shared" si="15"/>
        <v>August</v>
      </c>
      <c r="D982" t="s">
        <v>451</v>
      </c>
      <c r="E982" t="s">
        <v>2545</v>
      </c>
      <c r="F982" t="s">
        <v>44</v>
      </c>
      <c r="G982" t="s">
        <v>20</v>
      </c>
      <c r="H982" t="s">
        <v>21</v>
      </c>
      <c r="I982" t="s">
        <v>82</v>
      </c>
      <c r="J982">
        <v>7</v>
      </c>
      <c r="K982" s="4">
        <v>504.26</v>
      </c>
      <c r="L982" s="2">
        <v>3529.82</v>
      </c>
      <c r="M982">
        <v>0.1</v>
      </c>
      <c r="N982" s="4">
        <v>694.86</v>
      </c>
      <c r="O982" t="s">
        <v>31</v>
      </c>
      <c r="P982">
        <v>8</v>
      </c>
    </row>
    <row r="983" spans="1:16" x14ac:dyDescent="0.35">
      <c r="A983" t="s">
        <v>2546</v>
      </c>
      <c r="B983" s="10" t="s">
        <v>1397</v>
      </c>
      <c r="C983" s="11" t="str">
        <f t="shared" si="15"/>
        <v>July</v>
      </c>
      <c r="D983" t="s">
        <v>210</v>
      </c>
      <c r="E983" t="s">
        <v>2547</v>
      </c>
      <c r="F983" t="s">
        <v>19</v>
      </c>
      <c r="G983" t="s">
        <v>28</v>
      </c>
      <c r="H983" t="s">
        <v>76</v>
      </c>
      <c r="I983" t="s">
        <v>87</v>
      </c>
      <c r="J983">
        <v>3</v>
      </c>
      <c r="K983" s="4">
        <v>672.25</v>
      </c>
      <c r="L983" s="2">
        <v>2016.75</v>
      </c>
      <c r="M983">
        <v>0.05</v>
      </c>
      <c r="N983" s="4">
        <v>637.79999999999995</v>
      </c>
      <c r="O983" t="s">
        <v>23</v>
      </c>
      <c r="P983">
        <v>5</v>
      </c>
    </row>
    <row r="984" spans="1:16" x14ac:dyDescent="0.35">
      <c r="A984" t="s">
        <v>2548</v>
      </c>
      <c r="B984" s="10" t="s">
        <v>1721</v>
      </c>
      <c r="C984" s="11" t="str">
        <f t="shared" si="15"/>
        <v>January</v>
      </c>
      <c r="D984" t="s">
        <v>479</v>
      </c>
      <c r="E984" t="s">
        <v>2549</v>
      </c>
      <c r="F984" t="s">
        <v>44</v>
      </c>
      <c r="G984" t="s">
        <v>20</v>
      </c>
      <c r="H984" t="s">
        <v>21</v>
      </c>
      <c r="I984" t="s">
        <v>71</v>
      </c>
      <c r="J984">
        <v>2</v>
      </c>
      <c r="K984" s="4">
        <v>1194.53</v>
      </c>
      <c r="L984" s="2">
        <v>2389.06</v>
      </c>
      <c r="M984">
        <v>0</v>
      </c>
      <c r="N984" s="4">
        <v>1228.32</v>
      </c>
      <c r="O984" t="s">
        <v>39</v>
      </c>
      <c r="P984">
        <v>10</v>
      </c>
    </row>
    <row r="985" spans="1:16" x14ac:dyDescent="0.35">
      <c r="A985" t="s">
        <v>2550</v>
      </c>
      <c r="B985" s="10" t="s">
        <v>2551</v>
      </c>
      <c r="C985" s="11" t="str">
        <f t="shared" si="15"/>
        <v>August</v>
      </c>
      <c r="D985" t="s">
        <v>546</v>
      </c>
      <c r="E985" t="s">
        <v>2073</v>
      </c>
      <c r="F985" t="s">
        <v>36</v>
      </c>
      <c r="G985" t="s">
        <v>28</v>
      </c>
      <c r="H985" t="s">
        <v>21</v>
      </c>
      <c r="I985" t="s">
        <v>22</v>
      </c>
      <c r="J985">
        <v>8</v>
      </c>
      <c r="K985" s="4">
        <v>613.97</v>
      </c>
      <c r="L985" s="2">
        <v>4911.76</v>
      </c>
      <c r="M985">
        <v>0</v>
      </c>
      <c r="N985" s="4">
        <v>1389.62</v>
      </c>
      <c r="O985" t="s">
        <v>23</v>
      </c>
      <c r="P985">
        <v>7</v>
      </c>
    </row>
    <row r="986" spans="1:16" x14ac:dyDescent="0.35">
      <c r="A986" t="s">
        <v>2552</v>
      </c>
      <c r="B986" s="10" t="s">
        <v>997</v>
      </c>
      <c r="C986" s="11" t="str">
        <f t="shared" si="15"/>
        <v>August</v>
      </c>
      <c r="D986" t="s">
        <v>337</v>
      </c>
      <c r="E986" t="s">
        <v>2553</v>
      </c>
      <c r="F986" t="s">
        <v>19</v>
      </c>
      <c r="G986" t="s">
        <v>28</v>
      </c>
      <c r="H986" t="s">
        <v>29</v>
      </c>
      <c r="I986" t="s">
        <v>224</v>
      </c>
      <c r="J986">
        <v>8</v>
      </c>
      <c r="K986" s="4">
        <v>1141.6500000000001</v>
      </c>
      <c r="L986" s="2">
        <v>9133.2000000000007</v>
      </c>
      <c r="M986">
        <v>0.1</v>
      </c>
      <c r="N986" s="4">
        <v>1339.46</v>
      </c>
      <c r="O986" t="s">
        <v>31</v>
      </c>
      <c r="P986">
        <v>6</v>
      </c>
    </row>
    <row r="987" spans="1:16" x14ac:dyDescent="0.35">
      <c r="A987" t="s">
        <v>2554</v>
      </c>
      <c r="B987" s="10" t="s">
        <v>1816</v>
      </c>
      <c r="C987" s="11" t="str">
        <f t="shared" si="15"/>
        <v>August</v>
      </c>
      <c r="D987" t="s">
        <v>665</v>
      </c>
      <c r="E987" t="s">
        <v>2555</v>
      </c>
      <c r="F987" t="s">
        <v>36</v>
      </c>
      <c r="G987" t="s">
        <v>20</v>
      </c>
      <c r="H987" t="s">
        <v>29</v>
      </c>
      <c r="I987" t="s">
        <v>100</v>
      </c>
      <c r="J987">
        <v>5</v>
      </c>
      <c r="K987" s="4">
        <v>335.78</v>
      </c>
      <c r="L987" s="2">
        <v>1678.9</v>
      </c>
      <c r="M987">
        <v>0.3</v>
      </c>
      <c r="N987" s="4">
        <v>522.04</v>
      </c>
      <c r="O987" t="s">
        <v>39</v>
      </c>
      <c r="P987">
        <v>1</v>
      </c>
    </row>
    <row r="988" spans="1:16" x14ac:dyDescent="0.35">
      <c r="A988" t="s">
        <v>2556</v>
      </c>
      <c r="B988" s="10" t="s">
        <v>953</v>
      </c>
      <c r="C988" s="11" t="str">
        <f t="shared" si="15"/>
        <v>November</v>
      </c>
      <c r="D988" t="s">
        <v>1059</v>
      </c>
      <c r="E988" t="s">
        <v>2557</v>
      </c>
      <c r="F988" t="s">
        <v>44</v>
      </c>
      <c r="G988" t="s">
        <v>37</v>
      </c>
      <c r="H988" t="s">
        <v>29</v>
      </c>
      <c r="I988" t="s">
        <v>30</v>
      </c>
      <c r="J988">
        <v>3</v>
      </c>
      <c r="K988" s="4">
        <v>952.8</v>
      </c>
      <c r="L988" s="2">
        <v>2858.4</v>
      </c>
      <c r="M988">
        <v>0.2</v>
      </c>
      <c r="N988" s="4">
        <v>507.62</v>
      </c>
      <c r="O988" t="s">
        <v>23</v>
      </c>
      <c r="P988">
        <v>7</v>
      </c>
    </row>
    <row r="989" spans="1:16" x14ac:dyDescent="0.35">
      <c r="A989" t="s">
        <v>2558</v>
      </c>
      <c r="B989" s="10" t="s">
        <v>344</v>
      </c>
      <c r="C989" s="11" t="str">
        <f t="shared" si="15"/>
        <v>January</v>
      </c>
      <c r="D989" t="s">
        <v>890</v>
      </c>
      <c r="E989" t="s">
        <v>2559</v>
      </c>
      <c r="F989" t="s">
        <v>44</v>
      </c>
      <c r="G989" t="s">
        <v>37</v>
      </c>
      <c r="H989" t="s">
        <v>29</v>
      </c>
      <c r="I989" t="s">
        <v>100</v>
      </c>
      <c r="J989">
        <v>7</v>
      </c>
      <c r="K989" s="4">
        <v>247.34</v>
      </c>
      <c r="L989" s="2">
        <v>1731.38</v>
      </c>
      <c r="M989">
        <v>0.3</v>
      </c>
      <c r="N989" s="4">
        <v>475.91</v>
      </c>
      <c r="O989" t="s">
        <v>23</v>
      </c>
      <c r="P989">
        <v>7</v>
      </c>
    </row>
    <row r="990" spans="1:16" x14ac:dyDescent="0.35">
      <c r="A990" t="s">
        <v>2560</v>
      </c>
      <c r="B990" s="10" t="s">
        <v>1872</v>
      </c>
      <c r="C990" s="11" t="str">
        <f t="shared" si="15"/>
        <v>April</v>
      </c>
      <c r="D990" t="s">
        <v>126</v>
      </c>
      <c r="E990" t="s">
        <v>2561</v>
      </c>
      <c r="F990" t="s">
        <v>19</v>
      </c>
      <c r="G990" t="s">
        <v>37</v>
      </c>
      <c r="H990" t="s">
        <v>21</v>
      </c>
      <c r="I990" t="s">
        <v>105</v>
      </c>
      <c r="J990">
        <v>7</v>
      </c>
      <c r="K990" s="4">
        <v>1086.92</v>
      </c>
      <c r="L990" s="2">
        <v>7608.44</v>
      </c>
      <c r="M990">
        <v>0.2</v>
      </c>
      <c r="N990" s="4">
        <v>2961.95</v>
      </c>
      <c r="O990" t="s">
        <v>23</v>
      </c>
      <c r="P990">
        <v>2</v>
      </c>
    </row>
    <row r="991" spans="1:16" x14ac:dyDescent="0.35">
      <c r="A991" t="s">
        <v>2562</v>
      </c>
      <c r="B991" s="10" t="s">
        <v>298</v>
      </c>
      <c r="C991" s="11" t="str">
        <f t="shared" si="15"/>
        <v>October</v>
      </c>
      <c r="D991" t="s">
        <v>180</v>
      </c>
      <c r="E991" t="s">
        <v>2563</v>
      </c>
      <c r="F991" t="s">
        <v>44</v>
      </c>
      <c r="G991" t="s">
        <v>37</v>
      </c>
      <c r="H991" t="s">
        <v>21</v>
      </c>
      <c r="I991" t="s">
        <v>71</v>
      </c>
      <c r="J991">
        <v>7</v>
      </c>
      <c r="K991" s="4">
        <v>1014.78</v>
      </c>
      <c r="L991" s="2">
        <v>7103.46</v>
      </c>
      <c r="M991">
        <v>0.3</v>
      </c>
      <c r="N991" s="4">
        <v>911.61</v>
      </c>
      <c r="O991" t="s">
        <v>31</v>
      </c>
      <c r="P991">
        <v>2</v>
      </c>
    </row>
    <row r="992" spans="1:16" x14ac:dyDescent="0.35">
      <c r="A992" t="s">
        <v>2564</v>
      </c>
      <c r="B992" s="10" t="s">
        <v>488</v>
      </c>
      <c r="C992" s="11" t="str">
        <f t="shared" si="15"/>
        <v>November</v>
      </c>
      <c r="D992" t="s">
        <v>349</v>
      </c>
      <c r="E992" t="s">
        <v>2565</v>
      </c>
      <c r="F992" t="s">
        <v>19</v>
      </c>
      <c r="G992" t="s">
        <v>20</v>
      </c>
      <c r="H992" t="s">
        <v>29</v>
      </c>
      <c r="I992" t="s">
        <v>45</v>
      </c>
      <c r="J992">
        <v>1</v>
      </c>
      <c r="K992" s="4">
        <v>762.1</v>
      </c>
      <c r="L992" s="2">
        <v>762.1</v>
      </c>
      <c r="M992">
        <v>0.2</v>
      </c>
      <c r="N992" s="4">
        <v>298</v>
      </c>
      <c r="O992" t="s">
        <v>23</v>
      </c>
      <c r="P992">
        <v>7</v>
      </c>
    </row>
    <row r="993" spans="1:16" x14ac:dyDescent="0.35">
      <c r="A993" t="s">
        <v>2566</v>
      </c>
      <c r="B993" s="10" t="s">
        <v>443</v>
      </c>
      <c r="C993" s="11" t="str">
        <f t="shared" si="15"/>
        <v>July</v>
      </c>
      <c r="D993" t="s">
        <v>1431</v>
      </c>
      <c r="E993" t="s">
        <v>2567</v>
      </c>
      <c r="F993" t="s">
        <v>36</v>
      </c>
      <c r="G993" t="s">
        <v>37</v>
      </c>
      <c r="H993" t="s">
        <v>29</v>
      </c>
      <c r="I993" t="s">
        <v>62</v>
      </c>
      <c r="J993">
        <v>3</v>
      </c>
      <c r="K993" s="4">
        <v>1180.43</v>
      </c>
      <c r="L993" s="2">
        <v>3541.29</v>
      </c>
      <c r="M993">
        <v>0.3</v>
      </c>
      <c r="N993" s="4">
        <v>737.22</v>
      </c>
      <c r="O993" t="s">
        <v>39</v>
      </c>
      <c r="P993">
        <v>4</v>
      </c>
    </row>
    <row r="994" spans="1:16" x14ac:dyDescent="0.35">
      <c r="A994" t="s">
        <v>2568</v>
      </c>
      <c r="B994" s="10" t="s">
        <v>821</v>
      </c>
      <c r="C994" s="11" t="str">
        <f t="shared" si="15"/>
        <v>February</v>
      </c>
      <c r="D994" t="s">
        <v>1841</v>
      </c>
      <c r="E994" t="s">
        <v>2569</v>
      </c>
      <c r="F994" t="s">
        <v>19</v>
      </c>
      <c r="G994" t="s">
        <v>20</v>
      </c>
      <c r="H994" t="s">
        <v>21</v>
      </c>
      <c r="I994" t="s">
        <v>105</v>
      </c>
      <c r="J994">
        <v>7</v>
      </c>
      <c r="K994" s="4">
        <v>929.06</v>
      </c>
      <c r="L994" s="2">
        <v>6503.42</v>
      </c>
      <c r="M994">
        <v>0.3</v>
      </c>
      <c r="N994" s="4">
        <v>2409.58</v>
      </c>
      <c r="O994" t="s">
        <v>23</v>
      </c>
      <c r="P994">
        <v>10</v>
      </c>
    </row>
    <row r="995" spans="1:16" x14ac:dyDescent="0.35">
      <c r="A995" t="s">
        <v>2570</v>
      </c>
      <c r="B995" s="10" t="s">
        <v>2189</v>
      </c>
      <c r="C995" s="11" t="str">
        <f t="shared" si="15"/>
        <v>May</v>
      </c>
      <c r="D995" t="s">
        <v>98</v>
      </c>
      <c r="E995" t="s">
        <v>2571</v>
      </c>
      <c r="F995" t="s">
        <v>36</v>
      </c>
      <c r="G995" t="s">
        <v>20</v>
      </c>
      <c r="H995" t="s">
        <v>29</v>
      </c>
      <c r="I995" t="s">
        <v>30</v>
      </c>
      <c r="J995">
        <v>8</v>
      </c>
      <c r="K995" s="4">
        <v>1114.0899999999999</v>
      </c>
      <c r="L995" s="2">
        <v>8912.7199999999993</v>
      </c>
      <c r="M995">
        <v>0</v>
      </c>
      <c r="N995" s="4">
        <v>4520.26</v>
      </c>
      <c r="O995" t="s">
        <v>31</v>
      </c>
      <c r="P995">
        <v>8</v>
      </c>
    </row>
    <row r="996" spans="1:16" x14ac:dyDescent="0.35">
      <c r="A996" t="s">
        <v>2572</v>
      </c>
      <c r="B996" s="10" t="s">
        <v>1305</v>
      </c>
      <c r="C996" s="11" t="str">
        <f t="shared" si="15"/>
        <v>September</v>
      </c>
      <c r="D996" t="s">
        <v>378</v>
      </c>
      <c r="E996" t="s">
        <v>2573</v>
      </c>
      <c r="F996" t="s">
        <v>36</v>
      </c>
      <c r="G996" t="s">
        <v>37</v>
      </c>
      <c r="H996" t="s">
        <v>76</v>
      </c>
      <c r="I996" t="s">
        <v>119</v>
      </c>
      <c r="J996">
        <v>7</v>
      </c>
      <c r="K996" s="4">
        <v>138.79</v>
      </c>
      <c r="L996" s="2">
        <v>971.53</v>
      </c>
      <c r="M996">
        <v>0</v>
      </c>
      <c r="N996" s="4">
        <v>373.56</v>
      </c>
      <c r="O996" t="s">
        <v>23</v>
      </c>
      <c r="P996">
        <v>7</v>
      </c>
    </row>
    <row r="997" spans="1:16" x14ac:dyDescent="0.35">
      <c r="A997" t="s">
        <v>2574</v>
      </c>
      <c r="B997" s="10" t="s">
        <v>812</v>
      </c>
      <c r="C997" s="11" t="str">
        <f t="shared" si="15"/>
        <v>April</v>
      </c>
      <c r="D997" t="s">
        <v>1461</v>
      </c>
      <c r="E997" t="s">
        <v>2575</v>
      </c>
      <c r="F997" t="s">
        <v>19</v>
      </c>
      <c r="G997" t="s">
        <v>20</v>
      </c>
      <c r="H997" t="s">
        <v>76</v>
      </c>
      <c r="I997" t="s">
        <v>87</v>
      </c>
      <c r="J997">
        <v>8</v>
      </c>
      <c r="K997" s="4">
        <v>974.09</v>
      </c>
      <c r="L997" s="2">
        <v>7792.72</v>
      </c>
      <c r="M997">
        <v>0.05</v>
      </c>
      <c r="N997" s="4">
        <v>3187.01</v>
      </c>
      <c r="O997" t="s">
        <v>31</v>
      </c>
      <c r="P997">
        <v>6</v>
      </c>
    </row>
    <row r="998" spans="1:16" x14ac:dyDescent="0.35">
      <c r="A998" t="s">
        <v>2576</v>
      </c>
      <c r="B998" s="10" t="s">
        <v>1586</v>
      </c>
      <c r="C998" s="11" t="str">
        <f t="shared" si="15"/>
        <v>May</v>
      </c>
      <c r="D998" t="s">
        <v>2353</v>
      </c>
      <c r="E998" t="s">
        <v>2577</v>
      </c>
      <c r="F998" t="s">
        <v>36</v>
      </c>
      <c r="G998" t="s">
        <v>20</v>
      </c>
      <c r="H998" t="s">
        <v>76</v>
      </c>
      <c r="I998" t="s">
        <v>128</v>
      </c>
      <c r="J998">
        <v>10</v>
      </c>
      <c r="K998" s="4">
        <v>727.99</v>
      </c>
      <c r="L998" s="2">
        <v>7279.9</v>
      </c>
      <c r="M998">
        <v>0</v>
      </c>
      <c r="N998" s="4">
        <v>3542.72</v>
      </c>
      <c r="O998" t="s">
        <v>23</v>
      </c>
      <c r="P998">
        <v>1</v>
      </c>
    </row>
    <row r="999" spans="1:16" x14ac:dyDescent="0.35">
      <c r="A999" t="s">
        <v>2578</v>
      </c>
      <c r="B999" s="10" t="s">
        <v>1434</v>
      </c>
      <c r="C999" s="11" t="str">
        <f t="shared" si="15"/>
        <v>April</v>
      </c>
      <c r="D999" t="s">
        <v>1018</v>
      </c>
      <c r="E999" t="s">
        <v>2579</v>
      </c>
      <c r="F999" t="s">
        <v>44</v>
      </c>
      <c r="G999" t="s">
        <v>37</v>
      </c>
      <c r="H999" t="s">
        <v>21</v>
      </c>
      <c r="I999" t="s">
        <v>71</v>
      </c>
      <c r="J999">
        <v>3</v>
      </c>
      <c r="K999" s="4">
        <v>275.24</v>
      </c>
      <c r="L999" s="2">
        <v>825.72</v>
      </c>
      <c r="M999">
        <v>0.1</v>
      </c>
      <c r="N999" s="4">
        <v>374.61</v>
      </c>
      <c r="O999" t="s">
        <v>31</v>
      </c>
      <c r="P999">
        <v>2</v>
      </c>
    </row>
    <row r="1000" spans="1:16" x14ac:dyDescent="0.35">
      <c r="A1000" t="s">
        <v>2580</v>
      </c>
      <c r="B1000" s="10" t="s">
        <v>513</v>
      </c>
      <c r="C1000" s="11" t="str">
        <f t="shared" si="15"/>
        <v>June</v>
      </c>
      <c r="D1000" t="s">
        <v>349</v>
      </c>
      <c r="E1000" t="s">
        <v>2581</v>
      </c>
      <c r="F1000" t="s">
        <v>19</v>
      </c>
      <c r="G1000" t="s">
        <v>57</v>
      </c>
      <c r="H1000" t="s">
        <v>21</v>
      </c>
      <c r="I1000" t="s">
        <v>105</v>
      </c>
      <c r="J1000">
        <v>5</v>
      </c>
      <c r="K1000" s="4">
        <v>342.93</v>
      </c>
      <c r="L1000" s="2">
        <v>1714.65</v>
      </c>
      <c r="M1000">
        <v>0.05</v>
      </c>
      <c r="N1000" s="4">
        <v>274.81</v>
      </c>
      <c r="O1000" t="s">
        <v>39</v>
      </c>
      <c r="P1000">
        <v>8</v>
      </c>
    </row>
    <row r="1001" spans="1:16" x14ac:dyDescent="0.35">
      <c r="A1001" t="s">
        <v>2582</v>
      </c>
      <c r="B1001" s="10" t="s">
        <v>158</v>
      </c>
      <c r="C1001" s="11" t="str">
        <f t="shared" si="15"/>
        <v>December</v>
      </c>
      <c r="D1001" t="s">
        <v>744</v>
      </c>
      <c r="E1001" t="s">
        <v>2583</v>
      </c>
      <c r="F1001" t="s">
        <v>44</v>
      </c>
      <c r="G1001" t="s">
        <v>28</v>
      </c>
      <c r="H1001" t="s">
        <v>76</v>
      </c>
      <c r="I1001" t="s">
        <v>177</v>
      </c>
      <c r="J1001">
        <v>7</v>
      </c>
      <c r="K1001" s="4">
        <v>1108.3699999999999</v>
      </c>
      <c r="L1001" s="2">
        <v>7758.59</v>
      </c>
      <c r="M1001">
        <v>0.1</v>
      </c>
      <c r="N1001" s="4">
        <v>3357.41</v>
      </c>
      <c r="O1001" t="s">
        <v>31</v>
      </c>
      <c r="P1001">
        <v>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2087C-0DB7-4DB1-926A-334A835C7B6E}">
  <dimension ref="A1:E2"/>
  <sheetViews>
    <sheetView zoomScale="81" workbookViewId="0">
      <selection activeCell="A2" sqref="A2"/>
    </sheetView>
  </sheetViews>
  <sheetFormatPr defaultRowHeight="14.5" x14ac:dyDescent="0.35"/>
  <cols>
    <col min="1" max="1" width="12.6328125" bestFit="1" customWidth="1"/>
    <col min="2" max="2" width="13.6328125" bestFit="1" customWidth="1"/>
    <col min="3" max="3" width="11.1796875" bestFit="1" customWidth="1"/>
    <col min="4" max="4" width="18.1796875" bestFit="1" customWidth="1"/>
    <col min="5" max="5" width="11.7265625" bestFit="1" customWidth="1"/>
  </cols>
  <sheetData>
    <row r="1" spans="1:5" x14ac:dyDescent="0.35">
      <c r="A1" t="s">
        <v>2603</v>
      </c>
      <c r="B1" t="s">
        <v>2605</v>
      </c>
      <c r="C1" t="s">
        <v>2609</v>
      </c>
      <c r="D1" t="s">
        <v>2611</v>
      </c>
      <c r="E1" t="s">
        <v>2607</v>
      </c>
    </row>
    <row r="2" spans="1:5" x14ac:dyDescent="0.35">
      <c r="A2" s="19">
        <f>SUM(Sales_Data!L2:L1001)</f>
        <v>3338012.6699999985</v>
      </c>
      <c r="B2" s="19">
        <f>SUM(Sales_Data!N2:N1001)</f>
        <v>1027645.460000001</v>
      </c>
      <c r="C2">
        <f>COUNTA(Sales_Data!A2:A1001)</f>
        <v>1000</v>
      </c>
      <c r="D2" s="20">
        <f>A2/C2</f>
        <v>3338.0126699999987</v>
      </c>
      <c r="E2" s="6">
        <f>B2/A2</f>
        <v>0.30786146177210327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election activeCell="M4" sqref="M4"/>
    </sheetView>
  </sheetViews>
  <sheetFormatPr defaultRowHeight="14.5" x14ac:dyDescent="0.35"/>
  <sheetData>
    <row r="1" spans="1:2" x14ac:dyDescent="0.35">
      <c r="A1" s="1" t="s">
        <v>2584</v>
      </c>
      <c r="B1" s="1" t="s">
        <v>2585</v>
      </c>
    </row>
    <row r="2" spans="1:2" x14ac:dyDescent="0.35">
      <c r="A2" t="s">
        <v>0</v>
      </c>
      <c r="B2" t="s">
        <v>2586</v>
      </c>
    </row>
    <row r="3" spans="1:2" x14ac:dyDescent="0.35">
      <c r="A3" t="s">
        <v>1</v>
      </c>
      <c r="B3" t="s">
        <v>2587</v>
      </c>
    </row>
    <row r="4" spans="1:2" x14ac:dyDescent="0.35">
      <c r="A4" t="s">
        <v>2</v>
      </c>
      <c r="B4" t="s">
        <v>2588</v>
      </c>
    </row>
    <row r="5" spans="1:2" x14ac:dyDescent="0.35">
      <c r="A5" t="s">
        <v>3</v>
      </c>
      <c r="B5" t="s">
        <v>2589</v>
      </c>
    </row>
    <row r="6" spans="1:2" x14ac:dyDescent="0.35">
      <c r="A6" t="s">
        <v>4</v>
      </c>
      <c r="B6" t="s">
        <v>2590</v>
      </c>
    </row>
    <row r="7" spans="1:2" x14ac:dyDescent="0.35">
      <c r="A7" t="s">
        <v>5</v>
      </c>
      <c r="B7" t="s">
        <v>2591</v>
      </c>
    </row>
    <row r="8" spans="1:2" x14ac:dyDescent="0.35">
      <c r="A8" t="s">
        <v>6</v>
      </c>
      <c r="B8" t="s">
        <v>2592</v>
      </c>
    </row>
    <row r="9" spans="1:2" x14ac:dyDescent="0.35">
      <c r="A9" t="s">
        <v>7</v>
      </c>
      <c r="B9" t="s">
        <v>2593</v>
      </c>
    </row>
    <row r="10" spans="1:2" x14ac:dyDescent="0.35">
      <c r="A10" t="s">
        <v>8</v>
      </c>
      <c r="B10" t="s">
        <v>2594</v>
      </c>
    </row>
    <row r="11" spans="1:2" x14ac:dyDescent="0.35">
      <c r="A11" t="s">
        <v>9</v>
      </c>
      <c r="B11" t="s">
        <v>2595</v>
      </c>
    </row>
    <row r="12" spans="1:2" x14ac:dyDescent="0.35">
      <c r="A12" t="s">
        <v>10</v>
      </c>
      <c r="B12" t="s">
        <v>2596</v>
      </c>
    </row>
    <row r="13" spans="1:2" x14ac:dyDescent="0.35">
      <c r="A13" t="s">
        <v>11</v>
      </c>
      <c r="B13" t="s">
        <v>2597</v>
      </c>
    </row>
    <row r="14" spans="1:2" x14ac:dyDescent="0.35">
      <c r="A14" t="s">
        <v>12</v>
      </c>
      <c r="B14" t="s">
        <v>2598</v>
      </c>
    </row>
    <row r="15" spans="1:2" x14ac:dyDescent="0.35">
      <c r="A15" t="s">
        <v>13</v>
      </c>
      <c r="B15" t="s">
        <v>2599</v>
      </c>
    </row>
    <row r="16" spans="1:2" x14ac:dyDescent="0.35">
      <c r="A16" t="s">
        <v>14</v>
      </c>
      <c r="B16" t="s">
        <v>2600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heetViews>
  <sheetFormatPr defaultRowHeight="14.5" x14ac:dyDescent="0.35"/>
  <sheetData>
    <row r="1" spans="1:2" x14ac:dyDescent="0.35">
      <c r="A1" s="1" t="s">
        <v>2601</v>
      </c>
      <c r="B1" s="1" t="s">
        <v>2602</v>
      </c>
    </row>
    <row r="2" spans="1:2" x14ac:dyDescent="0.35">
      <c r="A2" t="s">
        <v>2603</v>
      </c>
      <c r="B2" t="s">
        <v>2604</v>
      </c>
    </row>
    <row r="3" spans="1:2" x14ac:dyDescent="0.35">
      <c r="A3" t="s">
        <v>2605</v>
      </c>
      <c r="B3" t="s">
        <v>2606</v>
      </c>
    </row>
    <row r="4" spans="1:2" x14ac:dyDescent="0.35">
      <c r="A4" t="s">
        <v>2607</v>
      </c>
      <c r="B4" t="s">
        <v>2608</v>
      </c>
    </row>
    <row r="5" spans="1:2" x14ac:dyDescent="0.35">
      <c r="A5" t="s">
        <v>2609</v>
      </c>
      <c r="B5" t="s">
        <v>2610</v>
      </c>
    </row>
    <row r="6" spans="1:2" x14ac:dyDescent="0.35">
      <c r="A6" t="s">
        <v>2611</v>
      </c>
      <c r="B6" t="s">
        <v>2612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Pivot_tables</vt:lpstr>
      <vt:lpstr>Project_1_Ecommerce_Sales_Datas</vt:lpstr>
      <vt:lpstr>Sales_Data</vt:lpstr>
      <vt:lpstr>KPIs</vt:lpstr>
      <vt:lpstr>Data_Dictionary</vt:lpstr>
      <vt:lpstr>Suggested_KPIs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Blessing Osazuwa</cp:lastModifiedBy>
  <dcterms:created xsi:type="dcterms:W3CDTF">2026-05-27T07:22:45Z</dcterms:created>
  <dcterms:modified xsi:type="dcterms:W3CDTF">2026-06-04T11:22:36Z</dcterms:modified>
</cp:coreProperties>
</file>